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ather/Desktop/"/>
    </mc:Choice>
  </mc:AlternateContent>
  <xr:revisionPtr revIDLastSave="0" documentId="13_ncr:1_{A1454C5E-F34F-1741-BD1B-87193DF4E755}" xr6:coauthVersionLast="47" xr6:coauthVersionMax="47" xr10:uidLastSave="{00000000-0000-0000-0000-000000000000}"/>
  <bookViews>
    <workbookView xWindow="0" yWindow="680" windowWidth="28800" windowHeight="16960" activeTab="1" xr2:uid="{ECA3E34D-8D68-7B41-9E2D-385B2EB01B8C}"/>
  </bookViews>
  <sheets>
    <sheet name="Title Page" sheetId="1" r:id="rId1"/>
    <sheet name="Pillar Framework" sheetId="3" r:id="rId2"/>
    <sheet name="2024 ATDI by Category" sheetId="2" r:id="rId3"/>
    <sheet name="2024 ATDI by Pilla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8" i="5" l="1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AE208" i="5" l="1"/>
  <c r="AA208" i="5"/>
  <c r="S208" i="5"/>
  <c r="O208" i="5"/>
  <c r="K208" i="5"/>
  <c r="G208" i="5"/>
  <c r="C208" i="5"/>
  <c r="C47" i="5"/>
  <c r="G47" i="5"/>
  <c r="K47" i="5"/>
  <c r="O47" i="5"/>
  <c r="S47" i="5"/>
  <c r="W47" i="5"/>
  <c r="AA47" i="5"/>
  <c r="AE47" i="5"/>
  <c r="AI47" i="5"/>
  <c r="Q189" i="2" a="1"/>
  <c r="Q189" i="2" s="1"/>
  <c r="Q188" i="2"/>
  <c r="Q178" i="2"/>
  <c r="Q180" i="2"/>
  <c r="Q175" i="2"/>
  <c r="Q179" i="2"/>
  <c r="Q154" i="2"/>
  <c r="Q145" i="2"/>
  <c r="Q187" i="2"/>
  <c r="Q184" i="2"/>
  <c r="Q150" i="2"/>
  <c r="Q137" i="2"/>
  <c r="Q174" i="2"/>
  <c r="Q160" i="2"/>
  <c r="Q169" i="2"/>
  <c r="Q136" i="2"/>
  <c r="Q172" i="2"/>
  <c r="Q134" i="2"/>
  <c r="Q144" i="2"/>
  <c r="Q170" i="2"/>
  <c r="Q149" i="2"/>
  <c r="Q156" i="2"/>
  <c r="Q181" i="2"/>
  <c r="Q173" i="2"/>
  <c r="Q142" i="2"/>
  <c r="Q146" i="2"/>
  <c r="Q177" i="2"/>
  <c r="Q139" i="2"/>
  <c r="Q138" i="2"/>
  <c r="Q122" i="2"/>
  <c r="Q158" i="2"/>
  <c r="Q143" i="2"/>
  <c r="Q159" i="2"/>
  <c r="Q168" i="2"/>
  <c r="Q153" i="2"/>
  <c r="Q121" i="2"/>
  <c r="Q162" i="2"/>
  <c r="Q186" i="2"/>
  <c r="Q164" i="2"/>
  <c r="Q176" i="2"/>
  <c r="Q128" i="2"/>
  <c r="Q133" i="2"/>
  <c r="Q110" i="2"/>
  <c r="Q157" i="2"/>
  <c r="Q166" i="2"/>
  <c r="Q183" i="2"/>
  <c r="Q165" i="2"/>
  <c r="Q100" i="2"/>
  <c r="Q155" i="2"/>
  <c r="Q129" i="2"/>
  <c r="Q126" i="2"/>
  <c r="Q161" i="2"/>
  <c r="Q151" i="2"/>
  <c r="Q125" i="2"/>
  <c r="Q171" i="2"/>
  <c r="Q147" i="2"/>
  <c r="Q148" i="2"/>
  <c r="Q115" i="2"/>
  <c r="Q131" i="2"/>
  <c r="Q73" i="2"/>
  <c r="Q99" i="2"/>
  <c r="Q185" i="2"/>
  <c r="Q167" i="2"/>
  <c r="Q102" i="2"/>
  <c r="Q182" i="2"/>
  <c r="Q123" i="2"/>
  <c r="Q107" i="2"/>
  <c r="Q109" i="2"/>
  <c r="Q98" i="2"/>
  <c r="Q127" i="2"/>
  <c r="Q86" i="2"/>
  <c r="Q108" i="2"/>
  <c r="Q94" i="2"/>
  <c r="Q105" i="2"/>
  <c r="Q163" i="2"/>
  <c r="Q85" i="2"/>
  <c r="Q152" i="2"/>
  <c r="Q135" i="2"/>
  <c r="Q71" i="2"/>
  <c r="Q103" i="2"/>
  <c r="Q124" i="2"/>
  <c r="Q130" i="2"/>
  <c r="Q93" i="2"/>
  <c r="Q101" i="2"/>
  <c r="Q141" i="2"/>
  <c r="Q58" i="2"/>
  <c r="Q52" i="2"/>
  <c r="Q114" i="2"/>
  <c r="Q96" i="2"/>
  <c r="Q92" i="2"/>
  <c r="Q64" i="2"/>
  <c r="Q56" i="2"/>
  <c r="Q119" i="2"/>
  <c r="Q72" i="2"/>
  <c r="Q140" i="2"/>
  <c r="Q112" i="2"/>
  <c r="Q113" i="2"/>
  <c r="Q53" i="2"/>
  <c r="Q132" i="2"/>
  <c r="Q97" i="2"/>
  <c r="Q48" i="2"/>
  <c r="Q111" i="2"/>
  <c r="Q120" i="2"/>
  <c r="Q44" i="2"/>
  <c r="Q80" i="2"/>
  <c r="Q45" i="2"/>
  <c r="Q76" i="2"/>
  <c r="Q55" i="2"/>
  <c r="Q106" i="2"/>
  <c r="Q43" i="2"/>
  <c r="Q67" i="2"/>
  <c r="Q82" i="2"/>
  <c r="Q74" i="2"/>
  <c r="Q62" i="2"/>
  <c r="Q117" i="2"/>
  <c r="Q87" i="2"/>
  <c r="Q91" i="2"/>
  <c r="Q83" i="2"/>
  <c r="Q116" i="2"/>
  <c r="Q104" i="2"/>
  <c r="Q90" i="2"/>
  <c r="Q95" i="2"/>
  <c r="Q88" i="2"/>
  <c r="Q51" i="2"/>
  <c r="Q66" i="2"/>
  <c r="Q79" i="2"/>
  <c r="Q59" i="2"/>
  <c r="Q54" i="2"/>
  <c r="Q77" i="2"/>
  <c r="Q49" i="2"/>
  <c r="Q81" i="2"/>
  <c r="Q40" i="2"/>
  <c r="Q89" i="2"/>
  <c r="Q65" i="2"/>
  <c r="Q118" i="2"/>
  <c r="Q36" i="2"/>
  <c r="Q39" i="2"/>
  <c r="Q69" i="2"/>
  <c r="Q70" i="2"/>
  <c r="Q41" i="2"/>
  <c r="Q78" i="2"/>
  <c r="Q46" i="2"/>
  <c r="Q84" i="2"/>
  <c r="Q68" i="2"/>
  <c r="Q63" i="2"/>
  <c r="Q47" i="2"/>
  <c r="Q31" i="2"/>
  <c r="Q37" i="2"/>
  <c r="Q42" i="2"/>
  <c r="Q50" i="2"/>
  <c r="Q57" i="2"/>
  <c r="Q61" i="2"/>
  <c r="Q27" i="2"/>
  <c r="Q60" i="2"/>
  <c r="Q33" i="2"/>
  <c r="Q26" i="2"/>
  <c r="Q34" i="2"/>
  <c r="Q22" i="2"/>
  <c r="Q35" i="2"/>
  <c r="Q38" i="2"/>
  <c r="Q16" i="2"/>
  <c r="Q19" i="2"/>
  <c r="Q23" i="2"/>
  <c r="Q18" i="2"/>
  <c r="Q24" i="2"/>
  <c r="Q32" i="2"/>
  <c r="Q17" i="2"/>
  <c r="Q15" i="2"/>
  <c r="Q14" i="2"/>
  <c r="Q6" i="2"/>
  <c r="Q30" i="2"/>
  <c r="Q21" i="2"/>
  <c r="Q20" i="2"/>
  <c r="Q29" i="2"/>
  <c r="Q8" i="2"/>
  <c r="Q3" i="2"/>
  <c r="Q2" i="2"/>
  <c r="Q75" i="2"/>
  <c r="Q28" i="2"/>
  <c r="Q5" i="2"/>
  <c r="R5" i="2" s="1"/>
  <c r="Q7" i="2"/>
  <c r="Q13" i="2"/>
  <c r="Q11" i="2"/>
  <c r="Q25" i="2"/>
  <c r="Q10" i="2"/>
  <c r="Q9" i="2"/>
  <c r="Q4" i="2"/>
  <c r="Q12" i="2"/>
  <c r="R12" i="2" l="1"/>
  <c r="R18" i="2"/>
  <c r="R41" i="2"/>
  <c r="R51" i="2"/>
  <c r="R55" i="2"/>
  <c r="R56" i="2"/>
  <c r="R85" i="2"/>
  <c r="R73" i="2"/>
  <c r="R157" i="2"/>
  <c r="R139" i="2"/>
  <c r="R170" i="2"/>
  <c r="R4" i="2"/>
  <c r="R30" i="2"/>
  <c r="R33" i="2"/>
  <c r="R70" i="2"/>
  <c r="R88" i="2"/>
  <c r="R76" i="2"/>
  <c r="R64" i="2"/>
  <c r="R163" i="2"/>
  <c r="R153" i="2"/>
  <c r="R75" i="2"/>
  <c r="R6" i="2"/>
  <c r="R60" i="2"/>
  <c r="R47" i="2"/>
  <c r="R69" i="2"/>
  <c r="R49" i="2"/>
  <c r="R95" i="2"/>
  <c r="R62" i="2"/>
  <c r="R45" i="2"/>
  <c r="R53" i="2"/>
  <c r="R92" i="2"/>
  <c r="R130" i="2"/>
  <c r="R105" i="2"/>
  <c r="R123" i="2"/>
  <c r="R115" i="2"/>
  <c r="R129" i="2"/>
  <c r="R133" i="2"/>
  <c r="R168" i="2"/>
  <c r="R146" i="2"/>
  <c r="R134" i="2"/>
  <c r="R184" i="2"/>
  <c r="R21" i="2"/>
  <c r="R37" i="2"/>
  <c r="R40" i="2"/>
  <c r="R87" i="2"/>
  <c r="R97" i="2"/>
  <c r="R101" i="2"/>
  <c r="R109" i="2"/>
  <c r="R161" i="2"/>
  <c r="R121" i="2"/>
  <c r="R137" i="2"/>
  <c r="R28" i="2"/>
  <c r="R23" i="2"/>
  <c r="R31" i="2"/>
  <c r="R81" i="2"/>
  <c r="R117" i="2"/>
  <c r="R132" i="2"/>
  <c r="R93" i="2"/>
  <c r="R107" i="2"/>
  <c r="R131" i="2"/>
  <c r="R126" i="2"/>
  <c r="R110" i="2"/>
  <c r="R177" i="2"/>
  <c r="R144" i="2"/>
  <c r="R150" i="2"/>
  <c r="R9" i="2"/>
  <c r="R19" i="2"/>
  <c r="R10" i="2"/>
  <c r="R2" i="2"/>
  <c r="R14" i="2"/>
  <c r="R16" i="2"/>
  <c r="R27" i="2"/>
  <c r="R63" i="2"/>
  <c r="R39" i="2"/>
  <c r="R77" i="2"/>
  <c r="R90" i="2"/>
  <c r="R74" i="2"/>
  <c r="R80" i="2"/>
  <c r="R113" i="2"/>
  <c r="R96" i="2"/>
  <c r="R124" i="2"/>
  <c r="R94" i="2"/>
  <c r="R182" i="2"/>
  <c r="R148" i="2"/>
  <c r="R155" i="2"/>
  <c r="R128" i="2"/>
  <c r="R159" i="2"/>
  <c r="R142" i="2"/>
  <c r="R172" i="2"/>
  <c r="R187" i="2"/>
  <c r="R145" i="2"/>
  <c r="R26" i="2"/>
  <c r="R25" i="2"/>
  <c r="R3" i="2"/>
  <c r="R15" i="2"/>
  <c r="R38" i="2"/>
  <c r="R61" i="2"/>
  <c r="R68" i="2"/>
  <c r="R36" i="2"/>
  <c r="R54" i="2"/>
  <c r="R104" i="2"/>
  <c r="R82" i="2"/>
  <c r="R44" i="2"/>
  <c r="R112" i="2"/>
  <c r="R114" i="2"/>
  <c r="R103" i="2"/>
  <c r="R108" i="2"/>
  <c r="R102" i="2"/>
  <c r="R147" i="2"/>
  <c r="R100" i="2"/>
  <c r="R176" i="2"/>
  <c r="R143" i="2"/>
  <c r="R173" i="2"/>
  <c r="R136" i="2"/>
  <c r="R11" i="2"/>
  <c r="R8" i="2"/>
  <c r="R17" i="2"/>
  <c r="R35" i="2"/>
  <c r="R57" i="2"/>
  <c r="R84" i="2"/>
  <c r="R118" i="2"/>
  <c r="R59" i="2"/>
  <c r="R116" i="2"/>
  <c r="R67" i="2"/>
  <c r="R120" i="2"/>
  <c r="R140" i="2"/>
  <c r="R52" i="2"/>
  <c r="R71" i="2"/>
  <c r="R86" i="2"/>
  <c r="R167" i="2"/>
  <c r="R171" i="2"/>
  <c r="R165" i="2"/>
  <c r="R164" i="2"/>
  <c r="R158" i="2"/>
  <c r="R181" i="2"/>
  <c r="R169" i="2"/>
  <c r="R154" i="2"/>
  <c r="R179" i="2"/>
  <c r="R13" i="2"/>
  <c r="R29" i="2"/>
  <c r="R32" i="2"/>
  <c r="R22" i="2"/>
  <c r="R50" i="2"/>
  <c r="R46" i="2"/>
  <c r="R65" i="2"/>
  <c r="R79" i="2"/>
  <c r="R83" i="2"/>
  <c r="R43" i="2"/>
  <c r="R111" i="2"/>
  <c r="R72" i="2"/>
  <c r="R58" i="2"/>
  <c r="R135" i="2"/>
  <c r="R127" i="2"/>
  <c r="R185" i="2"/>
  <c r="R125" i="2"/>
  <c r="R183" i="2"/>
  <c r="R186" i="2"/>
  <c r="R122" i="2"/>
  <c r="R156" i="2"/>
  <c r="R160" i="2"/>
  <c r="R7" i="2"/>
  <c r="R20" i="2"/>
  <c r="R24" i="2"/>
  <c r="R34" i="2"/>
  <c r="R42" i="2"/>
  <c r="R78" i="2"/>
  <c r="R89" i="2"/>
  <c r="R66" i="2"/>
  <c r="R91" i="2"/>
  <c r="R106" i="2"/>
  <c r="R48" i="2"/>
  <c r="R119" i="2"/>
  <c r="R141" i="2"/>
  <c r="R152" i="2"/>
  <c r="R98" i="2"/>
  <c r="R99" i="2"/>
  <c r="R151" i="2"/>
  <c r="R166" i="2"/>
  <c r="R162" i="2"/>
  <c r="R138" i="2"/>
  <c r="R149" i="2"/>
  <c r="R174" i="2"/>
  <c r="R175" i="2"/>
  <c r="R180" i="2"/>
  <c r="R17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<sst xmlns="http://schemas.openxmlformats.org/spreadsheetml/2006/main" count="2737" uniqueCount="354">
  <si>
    <t>George Washington University</t>
  </si>
  <si>
    <t xml:space="preserve">Prepared by </t>
  </si>
  <si>
    <t>International Institute of Tourism Studies (IITS)</t>
  </si>
  <si>
    <t xml:space="preserve">and  </t>
  </si>
  <si>
    <t>Adventure Travel Trade Association (ATTA)</t>
  </si>
  <si>
    <t>Available at: http://www.adventureindex.travel/</t>
  </si>
  <si>
    <t>2024 Adventure Tourism Development Index (ATDI)</t>
  </si>
  <si>
    <t>(data collected in 2024)</t>
  </si>
  <si>
    <t>Index</t>
  </si>
  <si>
    <t>Factors</t>
  </si>
  <si>
    <t>Pillars</t>
  </si>
  <si>
    <t>Indicator Source</t>
  </si>
  <si>
    <t>Data Source</t>
  </si>
  <si>
    <t>ATDI</t>
  </si>
  <si>
    <t xml:space="preserve">1. Sustainable Development </t>
  </si>
  <si>
    <t>Human Development Index (HDI)</t>
  </si>
  <si>
    <t>United Nations Development Programme (UNDP)</t>
  </si>
  <si>
    <t>https://hdr.undp.org/data-center/human-development-index#/indicies/HDI</t>
  </si>
  <si>
    <t>Sustainable Development Solutions Network</t>
  </si>
  <si>
    <t>https://worldhappiness.report/</t>
  </si>
  <si>
    <t xml:space="preserve">Berkeley Inclusiveness Index </t>
  </si>
  <si>
    <t>https://belonging.berkeley.edu/inclusiveness-index</t>
  </si>
  <si>
    <t>2. Safety</t>
  </si>
  <si>
    <t>Vision of Humanity</t>
  </si>
  <si>
    <t>Corruption Perceptions Index (CPI)</t>
  </si>
  <si>
    <t>Transparency International</t>
  </si>
  <si>
    <t>Threat level reported</t>
  </si>
  <si>
    <t>Foreign &amp; Commonwealth Office (FCO) Travel Advice</t>
  </si>
  <si>
    <t>https://www.gov.uk/foreign-travel-advice</t>
  </si>
  <si>
    <t>Negative impact scale based on threat level reported</t>
  </si>
  <si>
    <t xml:space="preserve">Expert opinion rating on safety </t>
  </si>
  <si>
    <t>3. Health</t>
  </si>
  <si>
    <t>Number of medical doctors per 10,000 population</t>
  </si>
  <si>
    <t>World Health Organization (WHO)</t>
  </si>
  <si>
    <t>Environmental health indicators of the EPI</t>
  </si>
  <si>
    <t>Environmental Performance Index (EPI)</t>
  </si>
  <si>
    <t xml:space="preserve">4. Climate Resilience </t>
  </si>
  <si>
    <t>https://epi.yale.edu/measure/2024/EPI</t>
  </si>
  <si>
    <t>ND-GAIN</t>
  </si>
  <si>
    <t>Notre Dame Global Adaptation Initiative</t>
  </si>
  <si>
    <t>Resources</t>
  </si>
  <si>
    <t>5. Natural Resources</t>
  </si>
  <si>
    <t xml:space="preserve">Protected Areas Representativeness Index (PARI) </t>
  </si>
  <si>
    <t>Species Protection Index (SPI)</t>
  </si>
  <si>
    <t>https://data.worldbank.org/indicator/ER.PTD.TOTL.ZS</t>
  </si>
  <si>
    <t xml:space="preserve">Number of UNESCO World Cultural Heritage sites </t>
  </si>
  <si>
    <t>UNESCO</t>
  </si>
  <si>
    <t xml:space="preserve">Number of  intangible heritage practices </t>
  </si>
  <si>
    <t>https://ich.unesco.org/en/lists</t>
  </si>
  <si>
    <t>Expert opinion rating on cultural resources</t>
  </si>
  <si>
    <t>Readiness</t>
  </si>
  <si>
    <t>7.  Entrepreneurship</t>
  </si>
  <si>
    <t>Economic Freedom Index</t>
  </si>
  <si>
    <t>The Heritage Foundation</t>
  </si>
  <si>
    <t>World Bank</t>
  </si>
  <si>
    <t>https://archive.doingbusiness.org/en/rankings</t>
  </si>
  <si>
    <t>Expert opinion rating on entrepreneurship</t>
  </si>
  <si>
    <t>8. Infrastructure</t>
  </si>
  <si>
    <t>Fixed broadband subscriptions (per 100 people)</t>
  </si>
  <si>
    <t>https://lpi.worldbank.org/</t>
  </si>
  <si>
    <t>UNWTO</t>
  </si>
  <si>
    <t>https://www.unwto.org/tourism-data/global-and-regional-tourism-performance</t>
  </si>
  <si>
    <t>Air Connectivity index score</t>
  </si>
  <si>
    <t>IATA</t>
  </si>
  <si>
    <t>https://www.iata.org/en/iata-repository/publications/economic-reports/air-connectivity-measuring-the-connections-that-drive-economic-growth/</t>
  </si>
  <si>
    <t>Expert opinion rating on infrastructure</t>
  </si>
  <si>
    <t>9. Image</t>
  </si>
  <si>
    <t>Country Brand Index Tourism edition</t>
  </si>
  <si>
    <t>Bloom Consulting Country Brand ranking</t>
  </si>
  <si>
    <t>https://www.bloom-consulting.com/en/pdf/rankings/Bloom_Consulting_Country_Brand_Ranking_Tourism.pdf</t>
  </si>
  <si>
    <t>Expert opinion rating on image</t>
  </si>
  <si>
    <t>Iceland</t>
  </si>
  <si>
    <t>Europe</t>
  </si>
  <si>
    <t>Western Europe</t>
  </si>
  <si>
    <t>New Zealand</t>
  </si>
  <si>
    <t>East Asia and the Pacific</t>
  </si>
  <si>
    <t>Australia and New Zealand</t>
  </si>
  <si>
    <t>Switzerland</t>
  </si>
  <si>
    <t>Germany</t>
  </si>
  <si>
    <t>Norway</t>
  </si>
  <si>
    <t>Sweden</t>
  </si>
  <si>
    <t>Canada</t>
  </si>
  <si>
    <t>North America</t>
  </si>
  <si>
    <t>Finland</t>
  </si>
  <si>
    <t>United Kingdom</t>
  </si>
  <si>
    <t>Austria</t>
  </si>
  <si>
    <t>Denmark</t>
  </si>
  <si>
    <t>Ireland</t>
  </si>
  <si>
    <t>Netherlands</t>
  </si>
  <si>
    <t>France</t>
  </si>
  <si>
    <t>Luxembourg</t>
  </si>
  <si>
    <t>Australia</t>
  </si>
  <si>
    <t>Spain</t>
  </si>
  <si>
    <t>Italy</t>
  </si>
  <si>
    <t>Belgium</t>
  </si>
  <si>
    <t>Japan</t>
  </si>
  <si>
    <t>Northeast Asia</t>
  </si>
  <si>
    <t>Malta</t>
  </si>
  <si>
    <t>Portugal</t>
  </si>
  <si>
    <t>Cyprus</t>
  </si>
  <si>
    <t>Central Europe</t>
  </si>
  <si>
    <t>Greece</t>
  </si>
  <si>
    <t>Andorra</t>
  </si>
  <si>
    <t>Czech Republic</t>
  </si>
  <si>
    <t>Estonia</t>
  </si>
  <si>
    <t>Poland</t>
  </si>
  <si>
    <t>Romania</t>
  </si>
  <si>
    <t>Bhutan</t>
  </si>
  <si>
    <t>South Asia</t>
  </si>
  <si>
    <t>Botswana</t>
  </si>
  <si>
    <t>Sub-Saharan Africa</t>
  </si>
  <si>
    <t>Southern Africa</t>
  </si>
  <si>
    <t>Croatia</t>
  </si>
  <si>
    <t>Israel</t>
  </si>
  <si>
    <t>Middle East and North Africa</t>
  </si>
  <si>
    <t>Chile</t>
  </si>
  <si>
    <t>Latin America and Caribbean</t>
  </si>
  <si>
    <t>South America</t>
  </si>
  <si>
    <t>Georgia</t>
  </si>
  <si>
    <t>Eastern Europe</t>
  </si>
  <si>
    <t>Costa Rica</t>
  </si>
  <si>
    <t>Meso America</t>
  </si>
  <si>
    <t>Turkey</t>
  </si>
  <si>
    <t>Mauritius</t>
  </si>
  <si>
    <t>Western Indian Ocean</t>
  </si>
  <si>
    <t>Rwanda</t>
  </si>
  <si>
    <t>Eastern Africa</t>
  </si>
  <si>
    <t>Zambia</t>
  </si>
  <si>
    <t>Nepal</t>
  </si>
  <si>
    <t>Bulgaria</t>
  </si>
  <si>
    <t>Jordan</t>
  </si>
  <si>
    <t>Uruguay</t>
  </si>
  <si>
    <t>Montenegro</t>
  </si>
  <si>
    <t>Kyrgyzstan</t>
  </si>
  <si>
    <t>Central Asia</t>
  </si>
  <si>
    <t>Dominica</t>
  </si>
  <si>
    <t>Caribbean</t>
  </si>
  <si>
    <t>Peru</t>
  </si>
  <si>
    <t>Barbados</t>
  </si>
  <si>
    <t>Mexico</t>
  </si>
  <si>
    <t>India</t>
  </si>
  <si>
    <t>Seychelles</t>
  </si>
  <si>
    <t>Senegal</t>
  </si>
  <si>
    <t>Western Africa</t>
  </si>
  <si>
    <t>Panama</t>
  </si>
  <si>
    <t>Philippines</t>
  </si>
  <si>
    <t>South East Asia</t>
  </si>
  <si>
    <t>Namibia</t>
  </si>
  <si>
    <t>South Africa</t>
  </si>
  <si>
    <t>Cape Verde</t>
  </si>
  <si>
    <t>Ghana</t>
  </si>
  <si>
    <t>Argentina</t>
  </si>
  <si>
    <t>Kenya</t>
  </si>
  <si>
    <t>Gabon</t>
  </si>
  <si>
    <t>Central Africa</t>
  </si>
  <si>
    <t>Belize</t>
  </si>
  <si>
    <t>Brazil</t>
  </si>
  <si>
    <t>Ethiopia</t>
  </si>
  <si>
    <t>Bahamas</t>
  </si>
  <si>
    <t>Colombia</t>
  </si>
  <si>
    <t>United Arab Emirates</t>
  </si>
  <si>
    <t>Cuba</t>
  </si>
  <si>
    <t>Bahrain</t>
  </si>
  <si>
    <t>Tanzania</t>
  </si>
  <si>
    <t>Slovenia</t>
  </si>
  <si>
    <t>Malawi</t>
  </si>
  <si>
    <t>Singapore</t>
  </si>
  <si>
    <t>Mongolia</t>
  </si>
  <si>
    <t>Azerbaijan</t>
  </si>
  <si>
    <t>Benin</t>
  </si>
  <si>
    <t>Sao Tome and Principe</t>
  </si>
  <si>
    <t>Zimbabwe</t>
  </si>
  <si>
    <t>Uganda</t>
  </si>
  <si>
    <t>Guatemala</t>
  </si>
  <si>
    <t>El Salvador</t>
  </si>
  <si>
    <t>Dominican Republic</t>
  </si>
  <si>
    <t>Suriname</t>
  </si>
  <si>
    <t>Kazakhstan</t>
  </si>
  <si>
    <t>Ecuador</t>
  </si>
  <si>
    <t>Thailand</t>
  </si>
  <si>
    <t>Sri Lanka</t>
  </si>
  <si>
    <t>Saudi Arabia</t>
  </si>
  <si>
    <t>Qatar</t>
  </si>
  <si>
    <t>Morocco</t>
  </si>
  <si>
    <t>Northern Africa</t>
  </si>
  <si>
    <t>Trinidad and Tobago</t>
  </si>
  <si>
    <t>Kuwait</t>
  </si>
  <si>
    <t>Armenia</t>
  </si>
  <si>
    <t>Madagascar</t>
  </si>
  <si>
    <t>China</t>
  </si>
  <si>
    <t>Brunei Darussalam</t>
  </si>
  <si>
    <t>Nicaragua</t>
  </si>
  <si>
    <t>Fiji</t>
  </si>
  <si>
    <t>South Pacific</t>
  </si>
  <si>
    <t>Oman</t>
  </si>
  <si>
    <t>Micronesia</t>
  </si>
  <si>
    <t>Lebanon</t>
  </si>
  <si>
    <t>Cameroon</t>
  </si>
  <si>
    <t>Tunisia</t>
  </si>
  <si>
    <t>Saint Vincent and the Grenadines</t>
  </si>
  <si>
    <t>Maldives</t>
  </si>
  <si>
    <t>Mali</t>
  </si>
  <si>
    <t>Egypt</t>
  </si>
  <si>
    <t>Russia</t>
  </si>
  <si>
    <t>Lesotho</t>
  </si>
  <si>
    <t>Pakistan</t>
  </si>
  <si>
    <t>Guyana</t>
  </si>
  <si>
    <t>Tonga</t>
  </si>
  <si>
    <t>Albania</t>
  </si>
  <si>
    <t>Burundi</t>
  </si>
  <si>
    <t>Palau</t>
  </si>
  <si>
    <t>Ukraine</t>
  </si>
  <si>
    <t>Burkina Faso</t>
  </si>
  <si>
    <t>Gambia</t>
  </si>
  <si>
    <t>Sierra Leone</t>
  </si>
  <si>
    <t>Comoros</t>
  </si>
  <si>
    <t>Samoa</t>
  </si>
  <si>
    <t>Mozambique</t>
  </si>
  <si>
    <t>Mauritania</t>
  </si>
  <si>
    <t>Niger</t>
  </si>
  <si>
    <t>Saint Lucia</t>
  </si>
  <si>
    <t>Bangladesh</t>
  </si>
  <si>
    <t>Iran</t>
  </si>
  <si>
    <t>Afghanistan</t>
  </si>
  <si>
    <t>Bolivia</t>
  </si>
  <si>
    <t>Jamaica</t>
  </si>
  <si>
    <t>Vanuatu</t>
  </si>
  <si>
    <t>Laos</t>
  </si>
  <si>
    <t>Indonesia</t>
  </si>
  <si>
    <t>Malaysia</t>
  </si>
  <si>
    <t>Saint Kitts and Nevis</t>
  </si>
  <si>
    <t>Algeria</t>
  </si>
  <si>
    <t>Hungary</t>
  </si>
  <si>
    <t>Moldova</t>
  </si>
  <si>
    <t>Djibouti</t>
  </si>
  <si>
    <t>Yemen</t>
  </si>
  <si>
    <t>Togo</t>
  </si>
  <si>
    <t>Cambodia</t>
  </si>
  <si>
    <t>Kiribati</t>
  </si>
  <si>
    <t>Equatorial Guinea</t>
  </si>
  <si>
    <t>Venezuela</t>
  </si>
  <si>
    <t>Latvia</t>
  </si>
  <si>
    <t>Angola</t>
  </si>
  <si>
    <t>Guinea</t>
  </si>
  <si>
    <t>Antigua and Barbuda</t>
  </si>
  <si>
    <t>Lithuania</t>
  </si>
  <si>
    <t>San Marino</t>
  </si>
  <si>
    <t>Liberia</t>
  </si>
  <si>
    <t>Guinea-Bissau</t>
  </si>
  <si>
    <t>Syria</t>
  </si>
  <si>
    <t>Nigeria</t>
  </si>
  <si>
    <t>Eritrea</t>
  </si>
  <si>
    <t>Marshall Islands</t>
  </si>
  <si>
    <t>Belarus</t>
  </si>
  <si>
    <t>Uzbekistan</t>
  </si>
  <si>
    <t>Papua New Guinea</t>
  </si>
  <si>
    <t>Myanmar</t>
  </si>
  <si>
    <t>Grenada</t>
  </si>
  <si>
    <t>Tajikistan</t>
  </si>
  <si>
    <t>Congo</t>
  </si>
  <si>
    <t>Bosnia and Herzegovina</t>
  </si>
  <si>
    <t>Paraguay</t>
  </si>
  <si>
    <t>Turkmenistan</t>
  </si>
  <si>
    <t>Honduras</t>
  </si>
  <si>
    <t>Haiti</t>
  </si>
  <si>
    <t>Timor-Leste</t>
  </si>
  <si>
    <t>Solomon Islands</t>
  </si>
  <si>
    <t>Sudan</t>
  </si>
  <si>
    <t>Iraq</t>
  </si>
  <si>
    <t>Central African Republic</t>
  </si>
  <si>
    <t>Chad</t>
  </si>
  <si>
    <t>Country</t>
  </si>
  <si>
    <t>ATDI Score</t>
  </si>
  <si>
    <t>Advanced Economies</t>
  </si>
  <si>
    <t xml:space="preserve">Pillar 1 - Sustainable Development </t>
  </si>
  <si>
    <t>Pillar 6 - Cultural Resources</t>
  </si>
  <si>
    <t>Pillar 7 - Entrepreneurship</t>
  </si>
  <si>
    <t>Pillar 8 - Infrastructure</t>
  </si>
  <si>
    <t>Pillar 9 - Image</t>
  </si>
  <si>
    <t>Rank</t>
  </si>
  <si>
    <t>Score</t>
  </si>
  <si>
    <t>United States</t>
  </si>
  <si>
    <t>Korea, South</t>
  </si>
  <si>
    <t>Slovakia</t>
  </si>
  <si>
    <t>Mean</t>
  </si>
  <si>
    <t>SD</t>
  </si>
  <si>
    <t>Q1</t>
  </si>
  <si>
    <t>Q4</t>
  </si>
  <si>
    <t>Pillar 2 - Safety</t>
  </si>
  <si>
    <t>Serbia</t>
  </si>
  <si>
    <t>North Macedonia</t>
  </si>
  <si>
    <t>Vietnam</t>
  </si>
  <si>
    <t>Cote d'Ivoire</t>
  </si>
  <si>
    <t>Libya</t>
  </si>
  <si>
    <t>Cabo Verde</t>
  </si>
  <si>
    <t>Congo, The Democratic Republic of the</t>
  </si>
  <si>
    <t>Palestine/West Bank &amp; Gaza</t>
  </si>
  <si>
    <t>Region</t>
  </si>
  <si>
    <t xml:space="preserve">Sub-region </t>
  </si>
  <si>
    <t xml:space="preserve">Country classification </t>
  </si>
  <si>
    <t>Pillar 1 - Sustainable Development</t>
  </si>
  <si>
    <t>Pillar 3 - Health</t>
  </si>
  <si>
    <t>Pillar 4 - Climate Resilience</t>
  </si>
  <si>
    <t>Pillar 5 - Natural Resources</t>
  </si>
  <si>
    <t xml:space="preserve">Pillar 9 - Image </t>
  </si>
  <si>
    <t>Factor 1 Enabling environment</t>
  </si>
  <si>
    <t>Factor 2 Resources</t>
  </si>
  <si>
    <t>Factor 3 Readiness</t>
  </si>
  <si>
    <t xml:space="preserve">Ranking </t>
  </si>
  <si>
    <t xml:space="preserve">Advanced economy </t>
  </si>
  <si>
    <t xml:space="preserve">Eastern Europe and Central Asia </t>
  </si>
  <si>
    <t>Emerging and developing economy</t>
  </si>
  <si>
    <t>Data available for all countries</t>
  </si>
  <si>
    <t>Other indicators in the pillar are reweighted if data for this indicator is missing</t>
  </si>
  <si>
    <t>updated 11/22/2024 (FINAL)</t>
  </si>
  <si>
    <t>6. Cultural Resources</t>
  </si>
  <si>
    <t>Overall</t>
  </si>
  <si>
    <t>Advanced</t>
  </si>
  <si>
    <t>Developing</t>
  </si>
  <si>
    <t>(no data)</t>
  </si>
  <si>
    <t>Emerging and Developing Economies</t>
  </si>
  <si>
    <t>Indicators</t>
  </si>
  <si>
    <t>Pillar Weight 
(% of Factor)</t>
  </si>
  <si>
    <t>Factor Weight 
(% of ATDI)</t>
  </si>
  <si>
    <t>Indicator Weight 
(% of Pillar)</t>
  </si>
  <si>
    <t>Indicator Weight 
(% of ADTI)</t>
  </si>
  <si>
    <t>Methodology Details</t>
  </si>
  <si>
    <t>ATTA Expert Survey 2024</t>
  </si>
  <si>
    <t>Enabling Environment</t>
  </si>
  <si>
    <t>Ease of Doing Business Index</t>
  </si>
  <si>
    <t xml:space="preserve">Bed-places (per 1,000 inhabitants) </t>
  </si>
  <si>
    <t>Global Peace Index (GPI)</t>
  </si>
  <si>
    <t>World Happiness Report (WHR)</t>
  </si>
  <si>
    <t>https://www.transparency.org/en/cpi/2023</t>
  </si>
  <si>
    <t>https://apps.who.int/gho/data/node.imr.HWF_0001</t>
  </si>
  <si>
    <t>https://www.visionofhumanity.org/maps</t>
  </si>
  <si>
    <t>Global Health Security (GHS) Index</t>
  </si>
  <si>
    <t>https://ghsindex.org/report-model</t>
  </si>
  <si>
    <t>Climate mitigation indicators of the EPI</t>
  </si>
  <si>
    <t xml:space="preserve">Environmental Performance Index (EPI) </t>
  </si>
  <si>
    <t xml:space="preserve">Territorial and marine protected areas 
(% of total territorial area)   </t>
  </si>
  <si>
    <t>World Bank Development Indicators 
(World Database on Protected Areas (WDPA))</t>
  </si>
  <si>
    <t>https://whc.unesco.org/en/list</t>
  </si>
  <si>
    <t>https://data.worldbank.org/indicator/IT.NET.BBND.P2</t>
  </si>
  <si>
    <t>Logistics Performance Index (LPI)</t>
  </si>
  <si>
    <t>http://www.heritage.org/index</t>
  </si>
  <si>
    <t>This spreadsheet contains four worksheets:</t>
  </si>
  <si>
    <t>2. Pillar Framework and data sources</t>
  </si>
  <si>
    <t>https://gain.nd.edu/our-work/country-index</t>
  </si>
  <si>
    <t>Missing data imputed by geo subregion average</t>
  </si>
  <si>
    <r>
      <t>Expert opinion rating on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natural resources </t>
    </r>
  </si>
  <si>
    <t>4. 2024 ATDI by pillar</t>
  </si>
  <si>
    <t>3. 2024 ATDI by IMF category (sortable)</t>
  </si>
  <si>
    <t>1. Information about this data set (this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</si>
</sst>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00"/>
    <numFmt numFmtId="166" formatCode="0.000000"/>
    <numFmt numFmtId="167" formatCode="0.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theme="0"/>
      <name val="Calibri"/>
      <family val="2"/>
    </font>
    <font>
      <sz val="11"/>
      <color rgb="FFFF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0000"/>
      </patternFill>
    </fill>
    <fill>
      <patternFill patternType="solid">
        <fgColor theme="8" tint="-0.499984740745262"/>
        <bgColor rgb="FFB6DDE8"/>
      </patternFill>
    </fill>
    <fill>
      <patternFill patternType="solid">
        <fgColor theme="8" tint="-0.499984740745262"/>
        <bgColor rgb="FF999999"/>
      </patternFill>
    </fill>
    <fill>
      <patternFill patternType="solid">
        <fgColor rgb="FFFFCC00"/>
        <bgColor indexed="64"/>
      </patternFill>
    </fill>
    <fill>
      <patternFill patternType="solid">
        <fgColor rgb="FF005E49"/>
        <bgColor rgb="FF8064A2"/>
      </patternFill>
    </fill>
    <fill>
      <patternFill patternType="solid">
        <fgColor rgb="FFC0742F"/>
        <bgColor rgb="FF9BBB59"/>
      </patternFill>
    </fill>
    <fill>
      <patternFill patternType="solid">
        <fgColor rgb="FF842952"/>
        <bgColor rgb="FFFFFF66"/>
      </patternFill>
    </fill>
    <fill>
      <patternFill patternType="solid">
        <fgColor rgb="FFE0BF9D"/>
        <bgColor rgb="FFFFC000"/>
      </patternFill>
    </fill>
    <fill>
      <patternFill patternType="solid">
        <fgColor rgb="FFE0BF9D"/>
        <bgColor rgb="FF99CCFF"/>
      </patternFill>
    </fill>
    <fill>
      <patternFill patternType="solid">
        <fgColor rgb="FFC2854B"/>
        <bgColor rgb="FF4285F4"/>
      </patternFill>
    </fill>
    <fill>
      <patternFill patternType="solid">
        <fgColor rgb="FFC2854B"/>
        <bgColor rgb="FFFF8080"/>
      </patternFill>
    </fill>
    <fill>
      <patternFill patternType="solid">
        <fgColor rgb="FFC2854B"/>
        <bgColor rgb="FF999999"/>
      </patternFill>
    </fill>
    <fill>
      <patternFill patternType="solid">
        <fgColor rgb="FF7F5C39"/>
        <bgColor rgb="FF92D050"/>
      </patternFill>
    </fill>
    <fill>
      <patternFill patternType="solid">
        <fgColor rgb="FF7F5C39"/>
        <bgColor rgb="FF5F497A"/>
      </patternFill>
    </fill>
    <fill>
      <patternFill patternType="solid">
        <fgColor rgb="FF261709"/>
        <bgColor rgb="FF38761D"/>
      </patternFill>
    </fill>
    <fill>
      <patternFill patternType="solid">
        <fgColor rgb="FF261709"/>
        <bgColor rgb="FF92D050"/>
      </patternFill>
    </fill>
    <fill>
      <patternFill patternType="solid">
        <fgColor rgb="FF261709"/>
        <bgColor rgb="FF5F497A"/>
      </patternFill>
    </fill>
    <fill>
      <patternFill patternType="solid">
        <fgColor rgb="FFD7B6C3"/>
        <bgColor rgb="FF00B0F0"/>
      </patternFill>
    </fill>
    <fill>
      <patternFill patternType="solid">
        <fgColor rgb="FFD7B6C3"/>
        <bgColor rgb="FFE36C09"/>
      </patternFill>
    </fill>
    <fill>
      <patternFill patternType="solid">
        <fgColor rgb="FFD7B6C3"/>
        <bgColor rgb="FF999999"/>
      </patternFill>
    </fill>
    <fill>
      <patternFill patternType="solid">
        <fgColor rgb="FF9D5373"/>
        <bgColor rgb="FFBFBFBF"/>
      </patternFill>
    </fill>
    <fill>
      <patternFill patternType="solid">
        <fgColor rgb="FF9D5373"/>
        <bgColor rgb="FFF9CB9C"/>
      </patternFill>
    </fill>
    <fill>
      <patternFill patternType="solid">
        <fgColor rgb="FF9D5373"/>
        <bgColor rgb="FF999999"/>
      </patternFill>
    </fill>
    <fill>
      <patternFill patternType="solid">
        <fgColor rgb="FF002920"/>
        <bgColor rgb="FF00B0F0"/>
      </patternFill>
    </fill>
    <fill>
      <patternFill patternType="solid">
        <fgColor rgb="FF002920"/>
        <bgColor rgb="FF938953"/>
      </patternFill>
    </fill>
    <fill>
      <patternFill patternType="solid">
        <fgColor rgb="FF002920"/>
        <bgColor rgb="FF99CCFF"/>
      </patternFill>
    </fill>
    <fill>
      <patternFill patternType="solid">
        <fgColor rgb="FF002920"/>
        <bgColor rgb="FF999999"/>
      </patternFill>
    </fill>
    <fill>
      <patternFill patternType="solid">
        <fgColor rgb="FF01A981"/>
        <bgColor rgb="FF38761D"/>
      </patternFill>
    </fill>
    <fill>
      <patternFill patternType="solid">
        <fgColor rgb="FF01A981"/>
        <bgColor rgb="FF92D050"/>
      </patternFill>
    </fill>
    <fill>
      <patternFill patternType="solid">
        <fgColor rgb="FF01A981"/>
        <bgColor rgb="FFC4BD97"/>
      </patternFill>
    </fill>
    <fill>
      <patternFill patternType="solid">
        <fgColor rgb="FF01A981"/>
        <bgColor rgb="FF99CCFF"/>
      </patternFill>
    </fill>
    <fill>
      <patternFill patternType="solid">
        <fgColor rgb="FF01A981"/>
        <bgColor rgb="FF999999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5" fontId="6" fillId="2" borderId="1" xfId="0" quotePrefix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15" fontId="8" fillId="2" borderId="1" xfId="0" quotePrefix="1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5" fontId="3" fillId="3" borderId="0" xfId="0" applyNumberFormat="1" applyFont="1" applyFill="1"/>
    <xf numFmtId="165" fontId="3" fillId="0" borderId="0" xfId="0" applyNumberFormat="1" applyFont="1"/>
    <xf numFmtId="165" fontId="3" fillId="4" borderId="0" xfId="0" applyNumberFormat="1" applyFont="1" applyFill="1"/>
    <xf numFmtId="165" fontId="3" fillId="5" borderId="0" xfId="0" applyNumberFormat="1" applyFont="1" applyFill="1"/>
    <xf numFmtId="165" fontId="3" fillId="3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166" fontId="3" fillId="3" borderId="0" xfId="0" applyNumberFormat="1" applyFont="1" applyFill="1"/>
    <xf numFmtId="166" fontId="3" fillId="0" borderId="0" xfId="0" applyNumberFormat="1" applyFont="1"/>
    <xf numFmtId="166" fontId="3" fillId="4" borderId="0" xfId="0" applyNumberFormat="1" applyFont="1" applyFill="1"/>
    <xf numFmtId="166" fontId="3" fillId="5" borderId="0" xfId="0" applyNumberFormat="1" applyFont="1" applyFill="1"/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0" fontId="15" fillId="10" borderId="9" xfId="0" applyFont="1" applyFill="1" applyBorder="1" applyAlignment="1">
      <alignment horizontal="center" wrapText="1"/>
    </xf>
    <xf numFmtId="0" fontId="15" fillId="10" borderId="9" xfId="0" applyFont="1" applyFill="1" applyBorder="1" applyAlignment="1">
      <alignment horizontal="center"/>
    </xf>
    <xf numFmtId="0" fontId="16" fillId="0" borderId="0" xfId="0" applyFont="1"/>
    <xf numFmtId="0" fontId="18" fillId="8" borderId="4" xfId="0" applyFont="1" applyFill="1" applyBorder="1" applyAlignment="1">
      <alignment wrapText="1"/>
    </xf>
    <xf numFmtId="9" fontId="18" fillId="8" borderId="4" xfId="0" applyNumberFormat="1" applyFont="1" applyFill="1" applyBorder="1" applyAlignment="1">
      <alignment horizontal="center"/>
    </xf>
    <xf numFmtId="167" fontId="18" fillId="8" borderId="4" xfId="5" applyNumberFormat="1" applyFont="1" applyFill="1" applyBorder="1" applyAlignment="1">
      <alignment horizontal="center" wrapText="1"/>
    </xf>
    <xf numFmtId="0" fontId="21" fillId="8" borderId="20" xfId="0" applyFont="1" applyFill="1" applyBorder="1" applyAlignment="1">
      <alignment horizontal="left"/>
    </xf>
    <xf numFmtId="0" fontId="18" fillId="9" borderId="4" xfId="0" applyFont="1" applyFill="1" applyBorder="1" applyAlignment="1">
      <alignment wrapText="1"/>
    </xf>
    <xf numFmtId="9" fontId="18" fillId="9" borderId="4" xfId="0" applyNumberFormat="1" applyFont="1" applyFill="1" applyBorder="1" applyAlignment="1">
      <alignment horizontal="center" wrapText="1"/>
    </xf>
    <xf numFmtId="167" fontId="18" fillId="9" borderId="4" xfId="5" applyNumberFormat="1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left"/>
    </xf>
    <xf numFmtId="164" fontId="16" fillId="0" borderId="0" xfId="0" applyNumberFormat="1" applyFont="1"/>
    <xf numFmtId="0" fontId="18" fillId="8" borderId="5" xfId="0" applyFont="1" applyFill="1" applyBorder="1" applyAlignment="1">
      <alignment horizontal="left" vertical="center" wrapText="1"/>
    </xf>
    <xf numFmtId="0" fontId="18" fillId="8" borderId="7" xfId="0" applyFont="1" applyFill="1" applyBorder="1" applyAlignment="1">
      <alignment horizontal="left" vertical="center" wrapText="1"/>
    </xf>
    <xf numFmtId="10" fontId="18" fillId="8" borderId="5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13" fillId="0" borderId="0" xfId="0" applyFont="1" applyAlignment="1">
      <alignment horizontal="center" wrapText="1"/>
    </xf>
    <xf numFmtId="0" fontId="18" fillId="11" borderId="12" xfId="0" applyFont="1" applyFill="1" applyBorder="1" applyAlignment="1">
      <alignment horizontal="center" vertical="center" wrapText="1"/>
    </xf>
    <xf numFmtId="9" fontId="18" fillId="11" borderId="13" xfId="0" applyNumberFormat="1" applyFont="1" applyFill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/>
    </xf>
    <xf numFmtId="9" fontId="18" fillId="11" borderId="16" xfId="0" applyNumberFormat="1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9" fontId="18" fillId="11" borderId="19" xfId="0" applyNumberFormat="1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9" fontId="18" fillId="12" borderId="11" xfId="0" applyNumberFormat="1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9" fontId="18" fillId="13" borderId="5" xfId="0" applyNumberFormat="1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 wrapText="1"/>
    </xf>
    <xf numFmtId="9" fontId="18" fillId="13" borderId="6" xfId="0" applyNumberFormat="1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center" vertical="center" wrapText="1"/>
    </xf>
    <xf numFmtId="9" fontId="18" fillId="13" borderId="7" xfId="0" applyNumberFormat="1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left" vertical="center" wrapText="1"/>
    </xf>
    <xf numFmtId="9" fontId="19" fillId="14" borderId="17" xfId="0" applyNumberFormat="1" applyFont="1" applyFill="1" applyBorder="1" applyAlignment="1">
      <alignment horizontal="center" vertical="center" wrapText="1"/>
    </xf>
    <xf numFmtId="0" fontId="16" fillId="15" borderId="17" xfId="0" applyFont="1" applyFill="1" applyBorder="1" applyAlignment="1">
      <alignment wrapText="1"/>
    </xf>
    <xf numFmtId="10" fontId="19" fillId="15" borderId="17" xfId="0" applyNumberFormat="1" applyFont="1" applyFill="1" applyBorder="1" applyAlignment="1">
      <alignment horizontal="center" wrapText="1"/>
    </xf>
    <xf numFmtId="167" fontId="16" fillId="15" borderId="17" xfId="5" applyNumberFormat="1" applyFont="1" applyFill="1" applyBorder="1" applyAlignment="1">
      <alignment horizontal="center" wrapText="1"/>
    </xf>
    <xf numFmtId="0" fontId="20" fillId="15" borderId="17" xfId="0" applyFont="1" applyFill="1" applyBorder="1" applyAlignment="1">
      <alignment horizontal="left"/>
    </xf>
    <xf numFmtId="0" fontId="16" fillId="15" borderId="4" xfId="0" applyFont="1" applyFill="1" applyBorder="1" applyAlignment="1">
      <alignment wrapText="1"/>
    </xf>
    <xf numFmtId="0" fontId="19" fillId="14" borderId="9" xfId="0" applyFont="1" applyFill="1" applyBorder="1" applyAlignment="1">
      <alignment horizontal="left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wrapText="1"/>
    </xf>
    <xf numFmtId="10" fontId="19" fillId="15" borderId="9" xfId="0" applyNumberFormat="1" applyFont="1" applyFill="1" applyBorder="1" applyAlignment="1">
      <alignment horizontal="center" wrapText="1"/>
    </xf>
    <xf numFmtId="167" fontId="16" fillId="15" borderId="9" xfId="5" applyNumberFormat="1" applyFont="1" applyFill="1" applyBorder="1" applyAlignment="1">
      <alignment horizontal="center" wrapText="1"/>
    </xf>
    <xf numFmtId="0" fontId="20" fillId="15" borderId="9" xfId="0" applyFont="1" applyFill="1" applyBorder="1" applyAlignment="1">
      <alignment horizontal="left"/>
    </xf>
    <xf numFmtId="0" fontId="18" fillId="16" borderId="9" xfId="0" applyFont="1" applyFill="1" applyBorder="1" applyAlignment="1">
      <alignment horizontal="left" vertical="center" wrapText="1"/>
    </xf>
    <xf numFmtId="9" fontId="18" fillId="16" borderId="9" xfId="0" applyNumberFormat="1" applyFont="1" applyFill="1" applyBorder="1" applyAlignment="1">
      <alignment horizontal="center" vertical="center"/>
    </xf>
    <xf numFmtId="164" fontId="18" fillId="17" borderId="9" xfId="0" applyNumberFormat="1" applyFont="1" applyFill="1" applyBorder="1" applyAlignment="1">
      <alignment horizontal="left" wrapText="1"/>
    </xf>
    <xf numFmtId="9" fontId="18" fillId="17" borderId="9" xfId="0" applyNumberFormat="1" applyFont="1" applyFill="1" applyBorder="1" applyAlignment="1">
      <alignment horizontal="center" wrapText="1"/>
    </xf>
    <xf numFmtId="167" fontId="18" fillId="17" borderId="9" xfId="5" applyNumberFormat="1" applyFont="1" applyFill="1" applyBorder="1" applyAlignment="1">
      <alignment horizontal="center" wrapText="1"/>
    </xf>
    <xf numFmtId="0" fontId="18" fillId="17" borderId="9" xfId="0" applyFont="1" applyFill="1" applyBorder="1" applyAlignment="1">
      <alignment wrapText="1"/>
    </xf>
    <xf numFmtId="0" fontId="21" fillId="17" borderId="9" xfId="0" applyFont="1" applyFill="1" applyBorder="1" applyAlignment="1">
      <alignment horizontal="left"/>
    </xf>
    <xf numFmtId="0" fontId="18" fillId="17" borderId="4" xfId="0" applyFont="1" applyFill="1" applyBorder="1" applyAlignment="1">
      <alignment wrapText="1"/>
    </xf>
    <xf numFmtId="0" fontId="18" fillId="16" borderId="9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wrapText="1"/>
    </xf>
    <xf numFmtId="9" fontId="18" fillId="18" borderId="9" xfId="0" applyNumberFormat="1" applyFont="1" applyFill="1" applyBorder="1" applyAlignment="1">
      <alignment horizontal="center"/>
    </xf>
    <xf numFmtId="167" fontId="18" fillId="18" borderId="9" xfId="5" applyNumberFormat="1" applyFont="1" applyFill="1" applyBorder="1" applyAlignment="1">
      <alignment horizontal="center" vertical="center" wrapText="1"/>
    </xf>
    <xf numFmtId="0" fontId="18" fillId="18" borderId="9" xfId="0" applyFont="1" applyFill="1" applyBorder="1" applyAlignment="1">
      <alignment horizontal="left"/>
    </xf>
    <xf numFmtId="0" fontId="18" fillId="19" borderId="9" xfId="0" applyFont="1" applyFill="1" applyBorder="1" applyAlignment="1">
      <alignment horizontal="left" vertical="center" wrapText="1"/>
    </xf>
    <xf numFmtId="9" fontId="18" fillId="19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left" wrapText="1"/>
    </xf>
    <xf numFmtId="10" fontId="18" fillId="20" borderId="9" xfId="0" applyNumberFormat="1" applyFont="1" applyFill="1" applyBorder="1" applyAlignment="1">
      <alignment horizontal="center" wrapText="1"/>
    </xf>
    <xf numFmtId="167" fontId="18" fillId="20" borderId="9" xfId="5" applyNumberFormat="1" applyFont="1" applyFill="1" applyBorder="1" applyAlignment="1">
      <alignment horizontal="center" wrapText="1"/>
    </xf>
    <xf numFmtId="0" fontId="18" fillId="20" borderId="9" xfId="0" applyFont="1" applyFill="1" applyBorder="1" applyAlignment="1">
      <alignment wrapText="1"/>
    </xf>
    <xf numFmtId="0" fontId="21" fillId="20" borderId="9" xfId="0" applyFont="1" applyFill="1" applyBorder="1" applyAlignment="1">
      <alignment horizontal="left"/>
    </xf>
    <xf numFmtId="0" fontId="18" fillId="20" borderId="4" xfId="0" applyFont="1" applyFill="1" applyBorder="1" applyAlignment="1">
      <alignment wrapText="1"/>
    </xf>
    <xf numFmtId="0" fontId="18" fillId="19" borderId="9" xfId="0" applyFont="1" applyFill="1" applyBorder="1" applyAlignment="1">
      <alignment horizontal="center" vertical="center"/>
    </xf>
    <xf numFmtId="0" fontId="18" fillId="21" borderId="9" xfId="0" applyFont="1" applyFill="1" applyBorder="1" applyAlignment="1">
      <alignment horizontal="left" vertical="center"/>
    </xf>
    <xf numFmtId="9" fontId="18" fillId="22" borderId="9" xfId="0" applyNumberFormat="1" applyFont="1" applyFill="1" applyBorder="1" applyAlignment="1">
      <alignment horizontal="center" vertical="center"/>
    </xf>
    <xf numFmtId="0" fontId="18" fillId="23" borderId="9" xfId="0" applyFont="1" applyFill="1" applyBorder="1" applyAlignment="1">
      <alignment wrapText="1"/>
    </xf>
    <xf numFmtId="9" fontId="18" fillId="23" borderId="9" xfId="0" applyNumberFormat="1" applyFont="1" applyFill="1" applyBorder="1" applyAlignment="1">
      <alignment horizontal="center" wrapText="1"/>
    </xf>
    <xf numFmtId="167" fontId="18" fillId="23" borderId="9" xfId="5" applyNumberFormat="1" applyFont="1" applyFill="1" applyBorder="1" applyAlignment="1">
      <alignment horizontal="center" wrapText="1"/>
    </xf>
    <xf numFmtId="0" fontId="21" fillId="21" borderId="9" xfId="0" applyFont="1" applyFill="1" applyBorder="1" applyAlignment="1">
      <alignment horizontal="left"/>
    </xf>
    <xf numFmtId="0" fontId="18" fillId="23" borderId="4" xfId="0" applyFont="1" applyFill="1" applyBorder="1" applyAlignment="1">
      <alignment wrapText="1"/>
    </xf>
    <xf numFmtId="0" fontId="18" fillId="22" borderId="9" xfId="0" applyFont="1" applyFill="1" applyBorder="1" applyAlignment="1">
      <alignment horizontal="center" vertical="center"/>
    </xf>
    <xf numFmtId="0" fontId="18" fillId="21" borderId="9" xfId="0" applyFont="1" applyFill="1" applyBorder="1" applyAlignment="1">
      <alignment wrapText="1"/>
    </xf>
    <xf numFmtId="9" fontId="18" fillId="21" borderId="9" xfId="0" applyNumberFormat="1" applyFont="1" applyFill="1" applyBorder="1" applyAlignment="1">
      <alignment horizontal="center"/>
    </xf>
    <xf numFmtId="167" fontId="18" fillId="21" borderId="9" xfId="5" applyNumberFormat="1" applyFont="1" applyFill="1" applyBorder="1" applyAlignment="1">
      <alignment horizontal="center"/>
    </xf>
    <xf numFmtId="9" fontId="18" fillId="21" borderId="9" xfId="0" applyNumberFormat="1" applyFont="1" applyFill="1" applyBorder="1" applyAlignment="1">
      <alignment wrapText="1"/>
    </xf>
    <xf numFmtId="0" fontId="19" fillId="24" borderId="6" xfId="0" applyFont="1" applyFill="1" applyBorder="1" applyAlignment="1">
      <alignment horizontal="left" vertical="center" wrapText="1"/>
    </xf>
    <xf numFmtId="10" fontId="16" fillId="24" borderId="6" xfId="0" applyNumberFormat="1" applyFont="1" applyFill="1" applyBorder="1" applyAlignment="1">
      <alignment horizontal="center" vertical="center" wrapText="1"/>
    </xf>
    <xf numFmtId="0" fontId="16" fillId="25" borderId="4" xfId="0" applyFont="1" applyFill="1" applyBorder="1" applyAlignment="1">
      <alignment wrapText="1"/>
    </xf>
    <xf numFmtId="9" fontId="19" fillId="25" borderId="4" xfId="0" applyNumberFormat="1" applyFont="1" applyFill="1" applyBorder="1" applyAlignment="1">
      <alignment horizontal="center" wrapText="1"/>
    </xf>
    <xf numFmtId="167" fontId="16" fillId="25" borderId="4" xfId="5" applyNumberFormat="1" applyFont="1" applyFill="1" applyBorder="1" applyAlignment="1">
      <alignment horizontal="center" wrapText="1"/>
    </xf>
    <xf numFmtId="0" fontId="20" fillId="25" borderId="4" xfId="0" applyFont="1" applyFill="1" applyBorder="1" applyAlignment="1">
      <alignment horizontal="left"/>
    </xf>
    <xf numFmtId="0" fontId="16" fillId="24" borderId="6" xfId="0" applyFont="1" applyFill="1" applyBorder="1" applyAlignment="1">
      <alignment horizontal="center" vertical="center" wrapText="1"/>
    </xf>
    <xf numFmtId="9" fontId="19" fillId="25" borderId="14" xfId="0" applyNumberFormat="1" applyFont="1" applyFill="1" applyBorder="1" applyAlignment="1">
      <alignment horizontal="center" wrapText="1"/>
    </xf>
    <xf numFmtId="0" fontId="19" fillId="26" borderId="4" xfId="0" applyFont="1" applyFill="1" applyBorder="1" applyAlignment="1">
      <alignment wrapText="1"/>
    </xf>
    <xf numFmtId="0" fontId="20" fillId="25" borderId="14" xfId="0" applyFont="1" applyFill="1" applyBorder="1" applyAlignment="1">
      <alignment horizontal="left"/>
    </xf>
    <xf numFmtId="0" fontId="18" fillId="27" borderId="5" xfId="0" applyFont="1" applyFill="1" applyBorder="1" applyAlignment="1">
      <alignment horizontal="left" vertical="center" wrapText="1"/>
    </xf>
    <xf numFmtId="10" fontId="18" fillId="27" borderId="8" xfId="0" applyNumberFormat="1" applyFont="1" applyFill="1" applyBorder="1" applyAlignment="1">
      <alignment horizontal="center" vertical="center" wrapText="1"/>
    </xf>
    <xf numFmtId="0" fontId="18" fillId="28" borderId="9" xfId="0" applyFont="1" applyFill="1" applyBorder="1" applyAlignment="1">
      <alignment wrapText="1"/>
    </xf>
    <xf numFmtId="9" fontId="18" fillId="28" borderId="9" xfId="0" applyNumberFormat="1" applyFont="1" applyFill="1" applyBorder="1" applyAlignment="1">
      <alignment horizontal="center" wrapText="1"/>
    </xf>
    <xf numFmtId="167" fontId="18" fillId="28" borderId="9" xfId="5" applyNumberFormat="1" applyFont="1" applyFill="1" applyBorder="1" applyAlignment="1">
      <alignment horizontal="center"/>
    </xf>
    <xf numFmtId="164" fontId="21" fillId="28" borderId="9" xfId="0" applyNumberFormat="1" applyFont="1" applyFill="1" applyBorder="1" applyAlignment="1">
      <alignment horizontal="left"/>
    </xf>
    <xf numFmtId="0" fontId="18" fillId="27" borderId="6" xfId="0" applyFont="1" applyFill="1" applyBorder="1" applyAlignment="1">
      <alignment horizontal="left" vertical="center" wrapText="1"/>
    </xf>
    <xf numFmtId="0" fontId="18" fillId="27" borderId="11" xfId="0" applyFont="1" applyFill="1" applyBorder="1" applyAlignment="1">
      <alignment horizontal="center" vertical="center" wrapText="1"/>
    </xf>
    <xf numFmtId="0" fontId="18" fillId="28" borderId="9" xfId="0" applyFont="1" applyFill="1" applyBorder="1"/>
    <xf numFmtId="0" fontId="18" fillId="27" borderId="7" xfId="0" applyFont="1" applyFill="1" applyBorder="1" applyAlignment="1">
      <alignment horizontal="left" vertical="center" wrapText="1"/>
    </xf>
    <xf numFmtId="0" fontId="18" fillId="27" borderId="7" xfId="0" applyFont="1" applyFill="1" applyBorder="1" applyAlignment="1">
      <alignment horizontal="center" vertical="center" wrapText="1"/>
    </xf>
    <xf numFmtId="0" fontId="18" fillId="29" borderId="4" xfId="0" applyFont="1" applyFill="1" applyBorder="1" applyAlignment="1">
      <alignment wrapText="1"/>
    </xf>
    <xf numFmtId="9" fontId="18" fillId="29" borderId="4" xfId="0" applyNumberFormat="1" applyFont="1" applyFill="1" applyBorder="1" applyAlignment="1">
      <alignment horizontal="center" wrapText="1"/>
    </xf>
    <xf numFmtId="167" fontId="18" fillId="29" borderId="4" xfId="5" applyNumberFormat="1" applyFont="1" applyFill="1" applyBorder="1" applyAlignment="1">
      <alignment horizontal="center" vertical="center" wrapText="1"/>
    </xf>
    <xf numFmtId="0" fontId="18" fillId="29" borderId="4" xfId="0" applyFont="1" applyFill="1" applyBorder="1" applyAlignment="1">
      <alignment horizontal="left"/>
    </xf>
    <xf numFmtId="0" fontId="18" fillId="30" borderId="9" xfId="0" applyFont="1" applyFill="1" applyBorder="1" applyAlignment="1">
      <alignment horizontal="left" vertical="center" wrapText="1"/>
    </xf>
    <xf numFmtId="9" fontId="18" fillId="30" borderId="9" xfId="0" applyNumberFormat="1" applyFont="1" applyFill="1" applyBorder="1" applyAlignment="1">
      <alignment horizontal="center" vertical="center"/>
    </xf>
    <xf numFmtId="0" fontId="18" fillId="31" borderId="9" xfId="0" applyFont="1" applyFill="1" applyBorder="1" applyAlignment="1">
      <alignment wrapText="1"/>
    </xf>
    <xf numFmtId="9" fontId="18" fillId="31" borderId="9" xfId="0" applyNumberFormat="1" applyFont="1" applyFill="1" applyBorder="1" applyAlignment="1">
      <alignment horizontal="center" wrapText="1"/>
    </xf>
    <xf numFmtId="167" fontId="18" fillId="31" borderId="9" xfId="5" applyNumberFormat="1" applyFont="1" applyFill="1" applyBorder="1" applyAlignment="1">
      <alignment horizontal="center" wrapText="1"/>
    </xf>
    <xf numFmtId="0" fontId="21" fillId="32" borderId="9" xfId="0" applyFont="1" applyFill="1" applyBorder="1" applyAlignment="1">
      <alignment horizontal="left"/>
    </xf>
    <xf numFmtId="0" fontId="18" fillId="31" borderId="4" xfId="0" applyFont="1" applyFill="1" applyBorder="1" applyAlignment="1">
      <alignment wrapText="1"/>
    </xf>
    <xf numFmtId="0" fontId="18" fillId="30" borderId="9" xfId="0" applyFont="1" applyFill="1" applyBorder="1" applyAlignment="1">
      <alignment horizontal="center" vertical="center"/>
    </xf>
    <xf numFmtId="0" fontId="18" fillId="33" borderId="9" xfId="0" applyFont="1" applyFill="1" applyBorder="1" applyAlignment="1">
      <alignment wrapText="1"/>
    </xf>
    <xf numFmtId="9" fontId="18" fillId="33" borderId="9" xfId="0" applyNumberFormat="1" applyFont="1" applyFill="1" applyBorder="1" applyAlignment="1">
      <alignment horizontal="center" wrapText="1"/>
    </xf>
    <xf numFmtId="167" fontId="18" fillId="33" borderId="9" xfId="5" applyNumberFormat="1" applyFont="1" applyFill="1" applyBorder="1" applyAlignment="1">
      <alignment horizontal="center" vertical="center" wrapText="1"/>
    </xf>
    <xf numFmtId="0" fontId="18" fillId="33" borderId="9" xfId="0" applyFont="1" applyFill="1" applyBorder="1" applyAlignment="1">
      <alignment horizontal="left"/>
    </xf>
    <xf numFmtId="0" fontId="16" fillId="34" borderId="9" xfId="0" applyFont="1" applyFill="1" applyBorder="1" applyAlignment="1">
      <alignment horizontal="left" vertical="center"/>
    </xf>
    <xf numFmtId="9" fontId="16" fillId="35" borderId="9" xfId="0" applyNumberFormat="1" applyFont="1" applyFill="1" applyBorder="1" applyAlignment="1">
      <alignment horizontal="center" vertical="center"/>
    </xf>
    <xf numFmtId="9" fontId="19" fillId="36" borderId="9" xfId="0" applyNumberFormat="1" applyFont="1" applyFill="1" applyBorder="1" applyAlignment="1">
      <alignment horizontal="left" wrapText="1"/>
    </xf>
    <xf numFmtId="9" fontId="16" fillId="34" borderId="9" xfId="0" applyNumberFormat="1" applyFont="1" applyFill="1" applyBorder="1" applyAlignment="1">
      <alignment horizontal="center"/>
    </xf>
    <xf numFmtId="167" fontId="16" fillId="34" borderId="9" xfId="5" applyNumberFormat="1" applyFont="1" applyFill="1" applyBorder="1" applyAlignment="1">
      <alignment horizontal="center"/>
    </xf>
    <xf numFmtId="0" fontId="20" fillId="37" borderId="9" xfId="0" applyFont="1" applyFill="1" applyBorder="1" applyAlignment="1">
      <alignment horizontal="left"/>
    </xf>
    <xf numFmtId="9" fontId="19" fillId="36" borderId="21" xfId="0" applyNumberFormat="1" applyFont="1" applyFill="1" applyBorder="1" applyAlignment="1">
      <alignment horizontal="left" wrapText="1"/>
    </xf>
    <xf numFmtId="0" fontId="16" fillId="35" borderId="9" xfId="0" applyFont="1" applyFill="1" applyBorder="1" applyAlignment="1">
      <alignment horizontal="center" vertical="center"/>
    </xf>
    <xf numFmtId="0" fontId="19" fillId="38" borderId="9" xfId="0" applyFont="1" applyFill="1" applyBorder="1" applyAlignment="1">
      <alignment wrapText="1"/>
    </xf>
    <xf numFmtId="0" fontId="20" fillId="34" borderId="9" xfId="0" applyFont="1" applyFill="1" applyBorder="1" applyAlignment="1">
      <alignment horizontal="left"/>
    </xf>
  </cellXfs>
  <cellStyles count="6">
    <cellStyle name="Comma 10" xfId="4" xr:uid="{04B60C07-4DEF-B24E-AF59-75FE5632111A}"/>
    <cellStyle name="Comma 9" xfId="2" xr:uid="{B9EC60C4-460B-9D40-B6DC-997D83BA7AFD}"/>
    <cellStyle name="Normal" xfId="0" builtinId="0"/>
    <cellStyle name="Normal 11 2 2" xfId="3" xr:uid="{154311D4-1E2B-5148-9668-ACB21ED2BB4D}"/>
    <cellStyle name="Normal 2" xfId="1" xr:uid="{56B1D552-090C-7F47-8461-1D3F7746E4B8}"/>
    <cellStyle name="Percent" xfId="5" builtinId="5"/>
  </cellStyles>
  <dxfs count="0"/>
  <tableStyles count="0" defaultTableStyle="TableStyleMedium2" defaultPivotStyle="PivotStyleLight16"/>
  <colors>
    <mruColors>
      <color rgb="FF01A981"/>
      <color rgb="FF002920"/>
      <color rgb="FF9D5373"/>
      <color rgb="FFD7B6C3"/>
      <color rgb="FF759B91"/>
      <color rgb="FFA2B7B3"/>
      <color rgb="FF93AEA8"/>
      <color rgb="FF005E49"/>
      <color rgb="FF261709"/>
      <color rgb="FF7F5C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ata.org/en/iata-repository/publications/economic-reports/air-connectivity-measuring-the-connections-that-drive-economic-growth/" TargetMode="External"/><Relationship Id="rId13" Type="http://schemas.openxmlformats.org/officeDocument/2006/relationships/hyperlink" Target="https://apps.who.int/gho/data/node.imr.HWF_0001" TargetMode="External"/><Relationship Id="rId18" Type="http://schemas.openxmlformats.org/officeDocument/2006/relationships/hyperlink" Target="https://whc.unesco.org/en/list" TargetMode="External"/><Relationship Id="rId3" Type="http://schemas.openxmlformats.org/officeDocument/2006/relationships/hyperlink" Target="https://www.visionofhumanity.org/maps" TargetMode="External"/><Relationship Id="rId21" Type="http://schemas.openxmlformats.org/officeDocument/2006/relationships/hyperlink" Target="https://gain.nd.edu/our-work/country-index/" TargetMode="External"/><Relationship Id="rId7" Type="http://schemas.openxmlformats.org/officeDocument/2006/relationships/hyperlink" Target="https://www.unwto.org/tourism-data/global-and-regional-tourism-performance" TargetMode="External"/><Relationship Id="rId12" Type="http://schemas.openxmlformats.org/officeDocument/2006/relationships/hyperlink" Target="https://www.transparency.org/en/cpi/2023" TargetMode="External"/><Relationship Id="rId17" Type="http://schemas.openxmlformats.org/officeDocument/2006/relationships/hyperlink" Target="https://ich.unesco.org/en/lists" TargetMode="External"/><Relationship Id="rId2" Type="http://schemas.openxmlformats.org/officeDocument/2006/relationships/hyperlink" Target="https://belonging.berkeley.edu/inclusiveness-index" TargetMode="External"/><Relationship Id="rId16" Type="http://schemas.openxmlformats.org/officeDocument/2006/relationships/hyperlink" Target="https://epi.yale.edu/measure/2024/EPI" TargetMode="External"/><Relationship Id="rId20" Type="http://schemas.openxmlformats.org/officeDocument/2006/relationships/hyperlink" Target="https://data.worldbank.org/indicator/IT.NET.BBND.P2" TargetMode="External"/><Relationship Id="rId1" Type="http://schemas.openxmlformats.org/officeDocument/2006/relationships/hyperlink" Target="https://hdr.undp.org/data-center/human-development-index" TargetMode="External"/><Relationship Id="rId6" Type="http://schemas.openxmlformats.org/officeDocument/2006/relationships/hyperlink" Target="https://archive.doingbusiness.org/en/rankings" TargetMode="External"/><Relationship Id="rId11" Type="http://schemas.openxmlformats.org/officeDocument/2006/relationships/hyperlink" Target="https://worldhappiness.report/" TargetMode="External"/><Relationship Id="rId5" Type="http://schemas.openxmlformats.org/officeDocument/2006/relationships/hyperlink" Target="https://epi.yale.edu/measure/2024/EPI" TargetMode="External"/><Relationship Id="rId15" Type="http://schemas.openxmlformats.org/officeDocument/2006/relationships/hyperlink" Target="https://epi.yale.edu/measure/2024/EPI" TargetMode="External"/><Relationship Id="rId10" Type="http://schemas.openxmlformats.org/officeDocument/2006/relationships/hyperlink" Target="http://www.heritage.org/index" TargetMode="External"/><Relationship Id="rId19" Type="http://schemas.openxmlformats.org/officeDocument/2006/relationships/hyperlink" Target="https://lpi.worldbank.org/" TargetMode="External"/><Relationship Id="rId4" Type="http://schemas.openxmlformats.org/officeDocument/2006/relationships/hyperlink" Target="https://www.gov.uk/foreign-travel-advice" TargetMode="External"/><Relationship Id="rId9" Type="http://schemas.openxmlformats.org/officeDocument/2006/relationships/hyperlink" Target="https://www.bloom-consulting.com/en/pdf/rankings/Bloom_Consulting_Country_Brand_Ranking_Tourism.pdf" TargetMode="External"/><Relationship Id="rId14" Type="http://schemas.openxmlformats.org/officeDocument/2006/relationships/hyperlink" Target="https://ghsindex.org/report-mod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526C-0FFA-4449-A624-84642984D691}">
  <dimension ref="A1:A24"/>
  <sheetViews>
    <sheetView topLeftCell="A3" workbookViewId="0">
      <selection activeCell="A3" sqref="A3"/>
    </sheetView>
  </sheetViews>
  <sheetFormatPr baseColWidth="10" defaultRowHeight="16" x14ac:dyDescent="0.2"/>
  <cols>
    <col min="1" max="1" width="94.33203125" style="2" customWidth="1"/>
    <col min="2" max="16384" width="10.83203125" style="2"/>
  </cols>
  <sheetData>
    <row r="1" spans="1:1" ht="17" thickBot="1" x14ac:dyDescent="0.25"/>
    <row r="2" spans="1:1" ht="17" thickTop="1" x14ac:dyDescent="0.2">
      <c r="A2" s="3"/>
    </row>
    <row r="3" spans="1:1" ht="19" x14ac:dyDescent="0.25">
      <c r="A3" s="4" t="s">
        <v>6</v>
      </c>
    </row>
    <row r="4" spans="1:1" ht="19" x14ac:dyDescent="0.25">
      <c r="A4" s="5" t="s">
        <v>7</v>
      </c>
    </row>
    <row r="5" spans="1:1" x14ac:dyDescent="0.2">
      <c r="A5" s="10"/>
    </row>
    <row r="6" spans="1:1" x14ac:dyDescent="0.2">
      <c r="A6" s="11" t="s">
        <v>1</v>
      </c>
    </row>
    <row r="7" spans="1:1" x14ac:dyDescent="0.2">
      <c r="A7" s="11"/>
    </row>
    <row r="8" spans="1:1" x14ac:dyDescent="0.2">
      <c r="A8" s="11" t="s">
        <v>2</v>
      </c>
    </row>
    <row r="9" spans="1:1" x14ac:dyDescent="0.2">
      <c r="A9" s="11" t="s">
        <v>0</v>
      </c>
    </row>
    <row r="10" spans="1:1" x14ac:dyDescent="0.2">
      <c r="A10" s="11" t="s">
        <v>3</v>
      </c>
    </row>
    <row r="11" spans="1:1" x14ac:dyDescent="0.2">
      <c r="A11" s="11" t="s">
        <v>4</v>
      </c>
    </row>
    <row r="12" spans="1:1" x14ac:dyDescent="0.2">
      <c r="A12" s="11"/>
    </row>
    <row r="13" spans="1:1" x14ac:dyDescent="0.2">
      <c r="A13" s="11" t="s">
        <v>5</v>
      </c>
    </row>
    <row r="14" spans="1:1" x14ac:dyDescent="0.2">
      <c r="A14" s="11"/>
    </row>
    <row r="15" spans="1:1" x14ac:dyDescent="0.2">
      <c r="A15" s="11"/>
    </row>
    <row r="16" spans="1:1" x14ac:dyDescent="0.2">
      <c r="A16" s="12" t="s">
        <v>346</v>
      </c>
    </row>
    <row r="17" spans="1:1" x14ac:dyDescent="0.2">
      <c r="A17" s="12" t="s">
        <v>353</v>
      </c>
    </row>
    <row r="18" spans="1:1" x14ac:dyDescent="0.2">
      <c r="A18" s="12" t="s">
        <v>347</v>
      </c>
    </row>
    <row r="19" spans="1:1" x14ac:dyDescent="0.2">
      <c r="A19" s="12" t="s">
        <v>352</v>
      </c>
    </row>
    <row r="20" spans="1:1" x14ac:dyDescent="0.2">
      <c r="A20" s="12" t="s">
        <v>351</v>
      </c>
    </row>
    <row r="21" spans="1:1" x14ac:dyDescent="0.2">
      <c r="A21" s="12"/>
    </row>
    <row r="22" spans="1:1" x14ac:dyDescent="0.2">
      <c r="A22" s="11"/>
    </row>
    <row r="23" spans="1:1" ht="17" thickBot="1" x14ac:dyDescent="0.25">
      <c r="A23" s="13" t="s">
        <v>314</v>
      </c>
    </row>
    <row r="24" spans="1:1" ht="17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1572-F7FD-4645-AD42-7DC5087158C4}">
  <dimension ref="A1:K36"/>
  <sheetViews>
    <sheetView tabSelected="1" zoomScale="114" zoomScaleNormal="149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83203125" style="40"/>
    <col min="2" max="2" width="21.5" style="40" customWidth="1"/>
    <col min="3" max="3" width="10.83203125" style="40" customWidth="1"/>
    <col min="4" max="4" width="20.33203125" style="40" customWidth="1"/>
    <col min="5" max="5" width="11" style="40" customWidth="1"/>
    <col min="6" max="6" width="40.33203125" style="40" customWidth="1"/>
    <col min="7" max="7" width="14.83203125" style="40" customWidth="1"/>
    <col min="8" max="8" width="15.83203125" style="40" customWidth="1"/>
    <col min="9" max="9" width="42.5" style="40" customWidth="1"/>
    <col min="10" max="10" width="62.5" style="40" customWidth="1"/>
    <col min="11" max="11" width="71.83203125" style="40" customWidth="1"/>
    <col min="12" max="16384" width="10.83203125" style="40"/>
  </cols>
  <sheetData>
    <row r="1" spans="1:11" ht="48" x14ac:dyDescent="0.2">
      <c r="A1" s="38" t="s">
        <v>8</v>
      </c>
      <c r="B1" s="38" t="s">
        <v>9</v>
      </c>
      <c r="C1" s="38" t="s">
        <v>323</v>
      </c>
      <c r="D1" s="38" t="s">
        <v>10</v>
      </c>
      <c r="E1" s="38" t="s">
        <v>322</v>
      </c>
      <c r="F1" s="38" t="s">
        <v>321</v>
      </c>
      <c r="G1" s="38" t="s">
        <v>324</v>
      </c>
      <c r="H1" s="38" t="s">
        <v>325</v>
      </c>
      <c r="I1" s="38" t="s">
        <v>11</v>
      </c>
      <c r="J1" s="39" t="s">
        <v>12</v>
      </c>
      <c r="K1" s="38" t="s">
        <v>326</v>
      </c>
    </row>
    <row r="2" spans="1:11" ht="23" customHeight="1" x14ac:dyDescent="0.2">
      <c r="A2" s="54" t="s">
        <v>13</v>
      </c>
      <c r="B2" s="67" t="s">
        <v>328</v>
      </c>
      <c r="C2" s="68">
        <v>0.3</v>
      </c>
      <c r="D2" s="75" t="s">
        <v>14</v>
      </c>
      <c r="E2" s="76">
        <v>0.25</v>
      </c>
      <c r="F2" s="77" t="s">
        <v>15</v>
      </c>
      <c r="G2" s="78">
        <v>0.33329999999999999</v>
      </c>
      <c r="H2" s="79">
        <f>C2*E2*G2</f>
        <v>2.4997499999999999E-2</v>
      </c>
      <c r="I2" s="77" t="s">
        <v>16</v>
      </c>
      <c r="J2" s="80" t="s">
        <v>17</v>
      </c>
      <c r="K2" s="81" t="s">
        <v>349</v>
      </c>
    </row>
    <row r="3" spans="1:11" ht="23" customHeight="1" x14ac:dyDescent="0.2">
      <c r="A3" s="54"/>
      <c r="B3" s="67"/>
      <c r="C3" s="68"/>
      <c r="D3" s="82"/>
      <c r="E3" s="83"/>
      <c r="F3" s="84" t="s">
        <v>332</v>
      </c>
      <c r="G3" s="85">
        <v>0.33329999999999999</v>
      </c>
      <c r="H3" s="86">
        <f>C2*E2*G3</f>
        <v>2.4997499999999999E-2</v>
      </c>
      <c r="I3" s="84" t="s">
        <v>18</v>
      </c>
      <c r="J3" s="87" t="s">
        <v>19</v>
      </c>
      <c r="K3" s="81" t="s">
        <v>349</v>
      </c>
    </row>
    <row r="4" spans="1:11" ht="23" customHeight="1" x14ac:dyDescent="0.2">
      <c r="A4" s="54"/>
      <c r="B4" s="67"/>
      <c r="C4" s="68"/>
      <c r="D4" s="82"/>
      <c r="E4" s="83"/>
      <c r="F4" s="84" t="s">
        <v>20</v>
      </c>
      <c r="G4" s="85">
        <v>0.33329999999999999</v>
      </c>
      <c r="H4" s="86">
        <f>C2*E2*G4</f>
        <v>2.4997499999999999E-2</v>
      </c>
      <c r="I4" s="84" t="s">
        <v>20</v>
      </c>
      <c r="J4" s="87" t="s">
        <v>21</v>
      </c>
      <c r="K4" s="81" t="s">
        <v>349</v>
      </c>
    </row>
    <row r="5" spans="1:11" ht="23" customHeight="1" x14ac:dyDescent="0.2">
      <c r="A5" s="54"/>
      <c r="B5" s="67"/>
      <c r="C5" s="68"/>
      <c r="D5" s="88" t="s">
        <v>22</v>
      </c>
      <c r="E5" s="89">
        <v>0.25</v>
      </c>
      <c r="F5" s="90" t="s">
        <v>331</v>
      </c>
      <c r="G5" s="91">
        <v>0.3</v>
      </c>
      <c r="H5" s="92">
        <f>C2*E5*G5</f>
        <v>2.2499999999999999E-2</v>
      </c>
      <c r="I5" s="93" t="s">
        <v>23</v>
      </c>
      <c r="J5" s="94" t="s">
        <v>335</v>
      </c>
      <c r="K5" s="95" t="s">
        <v>349</v>
      </c>
    </row>
    <row r="6" spans="1:11" ht="23" customHeight="1" x14ac:dyDescent="0.2">
      <c r="A6" s="54"/>
      <c r="B6" s="67"/>
      <c r="C6" s="68"/>
      <c r="D6" s="88"/>
      <c r="E6" s="96"/>
      <c r="F6" s="90" t="s">
        <v>24</v>
      </c>
      <c r="G6" s="91">
        <v>0.3</v>
      </c>
      <c r="H6" s="92">
        <f>C2*E5*G6</f>
        <v>2.2499999999999999E-2</v>
      </c>
      <c r="I6" s="93" t="s">
        <v>25</v>
      </c>
      <c r="J6" s="94" t="s">
        <v>333</v>
      </c>
      <c r="K6" s="95" t="s">
        <v>349</v>
      </c>
    </row>
    <row r="7" spans="1:11" ht="23" customHeight="1" x14ac:dyDescent="0.2">
      <c r="A7" s="54"/>
      <c r="B7" s="67"/>
      <c r="C7" s="68"/>
      <c r="D7" s="88"/>
      <c r="E7" s="96"/>
      <c r="F7" s="90" t="s">
        <v>26</v>
      </c>
      <c r="G7" s="91">
        <v>0.2</v>
      </c>
      <c r="H7" s="92">
        <f>C2*E5*G7</f>
        <v>1.4999999999999999E-2</v>
      </c>
      <c r="I7" s="93" t="s">
        <v>27</v>
      </c>
      <c r="J7" s="94" t="s">
        <v>28</v>
      </c>
      <c r="K7" s="95" t="s">
        <v>29</v>
      </c>
    </row>
    <row r="8" spans="1:11" ht="23" customHeight="1" x14ac:dyDescent="0.2">
      <c r="A8" s="54"/>
      <c r="B8" s="67"/>
      <c r="C8" s="68"/>
      <c r="D8" s="88"/>
      <c r="E8" s="96"/>
      <c r="F8" s="97" t="s">
        <v>30</v>
      </c>
      <c r="G8" s="98">
        <v>0.2</v>
      </c>
      <c r="H8" s="99">
        <f>C2*E5*G8</f>
        <v>1.4999999999999999E-2</v>
      </c>
      <c r="I8" s="97" t="s">
        <v>327</v>
      </c>
      <c r="J8" s="100"/>
      <c r="K8" s="95" t="s">
        <v>313</v>
      </c>
    </row>
    <row r="9" spans="1:11" ht="16" x14ac:dyDescent="0.2">
      <c r="A9" s="54"/>
      <c r="B9" s="67"/>
      <c r="C9" s="68"/>
      <c r="D9" s="101" t="s">
        <v>31</v>
      </c>
      <c r="E9" s="102">
        <v>0.25</v>
      </c>
      <c r="F9" s="103" t="s">
        <v>32</v>
      </c>
      <c r="G9" s="104">
        <v>0.33329999999999999</v>
      </c>
      <c r="H9" s="105">
        <f>C2*E9*G9</f>
        <v>2.4997499999999999E-2</v>
      </c>
      <c r="I9" s="106" t="s">
        <v>33</v>
      </c>
      <c r="J9" s="107" t="s">
        <v>334</v>
      </c>
      <c r="K9" s="108" t="s">
        <v>349</v>
      </c>
    </row>
    <row r="10" spans="1:11" ht="23" customHeight="1" x14ac:dyDescent="0.2">
      <c r="A10" s="54"/>
      <c r="B10" s="67"/>
      <c r="C10" s="68"/>
      <c r="D10" s="101"/>
      <c r="E10" s="109"/>
      <c r="F10" s="106" t="s">
        <v>336</v>
      </c>
      <c r="G10" s="104">
        <v>0.33329999999999999</v>
      </c>
      <c r="H10" s="105">
        <f>C2*E9*G10</f>
        <v>2.4997499999999999E-2</v>
      </c>
      <c r="I10" s="106" t="s">
        <v>336</v>
      </c>
      <c r="J10" s="107" t="s">
        <v>337</v>
      </c>
      <c r="K10" s="108" t="s">
        <v>349</v>
      </c>
    </row>
    <row r="11" spans="1:11" ht="23" customHeight="1" x14ac:dyDescent="0.2">
      <c r="A11" s="54"/>
      <c r="B11" s="67"/>
      <c r="C11" s="68"/>
      <c r="D11" s="101"/>
      <c r="E11" s="109"/>
      <c r="F11" s="106" t="s">
        <v>34</v>
      </c>
      <c r="G11" s="104">
        <v>0.33329999999999999</v>
      </c>
      <c r="H11" s="105">
        <f>C2*E9*G11</f>
        <v>2.4997499999999999E-2</v>
      </c>
      <c r="I11" s="106" t="s">
        <v>35</v>
      </c>
      <c r="J11" s="107" t="s">
        <v>37</v>
      </c>
      <c r="K11" s="108" t="s">
        <v>349</v>
      </c>
    </row>
    <row r="12" spans="1:11" ht="23" customHeight="1" x14ac:dyDescent="0.2">
      <c r="A12" s="54"/>
      <c r="B12" s="67"/>
      <c r="C12" s="68"/>
      <c r="D12" s="110" t="s">
        <v>36</v>
      </c>
      <c r="E12" s="111">
        <v>0.25</v>
      </c>
      <c r="F12" s="112" t="s">
        <v>338</v>
      </c>
      <c r="G12" s="113">
        <v>0.5</v>
      </c>
      <c r="H12" s="114">
        <f>C2*E12*G12</f>
        <v>3.7499999999999999E-2</v>
      </c>
      <c r="I12" s="112" t="s">
        <v>35</v>
      </c>
      <c r="J12" s="115" t="s">
        <v>37</v>
      </c>
      <c r="K12" s="116" t="s">
        <v>349</v>
      </c>
    </row>
    <row r="13" spans="1:11" ht="23" customHeight="1" x14ac:dyDescent="0.2">
      <c r="A13" s="54"/>
      <c r="B13" s="67"/>
      <c r="C13" s="68"/>
      <c r="D13" s="110"/>
      <c r="E13" s="117"/>
      <c r="F13" s="118" t="s">
        <v>38</v>
      </c>
      <c r="G13" s="119">
        <v>0.5</v>
      </c>
      <c r="H13" s="120">
        <f>C2*E12*G13</f>
        <v>3.7499999999999999E-2</v>
      </c>
      <c r="I13" s="121" t="s">
        <v>39</v>
      </c>
      <c r="J13" s="115" t="s">
        <v>348</v>
      </c>
      <c r="K13" s="116" t="s">
        <v>349</v>
      </c>
    </row>
    <row r="14" spans="1:11" ht="20" customHeight="1" x14ac:dyDescent="0.2">
      <c r="A14" s="54"/>
      <c r="B14" s="61" t="s">
        <v>40</v>
      </c>
      <c r="C14" s="62">
        <v>0.4</v>
      </c>
      <c r="D14" s="159" t="s">
        <v>41</v>
      </c>
      <c r="E14" s="160">
        <v>0.6</v>
      </c>
      <c r="F14" s="161" t="s">
        <v>42</v>
      </c>
      <c r="G14" s="162">
        <v>0.2</v>
      </c>
      <c r="H14" s="163">
        <f>C14*E14*G14</f>
        <v>4.8000000000000001E-2</v>
      </c>
      <c r="I14" s="161" t="s">
        <v>339</v>
      </c>
      <c r="J14" s="164" t="s">
        <v>37</v>
      </c>
      <c r="K14" s="165" t="s">
        <v>349</v>
      </c>
    </row>
    <row r="15" spans="1:11" ht="23" customHeight="1" x14ac:dyDescent="0.2">
      <c r="A15" s="54"/>
      <c r="B15" s="63"/>
      <c r="C15" s="64"/>
      <c r="D15" s="159"/>
      <c r="E15" s="166"/>
      <c r="F15" s="161" t="s">
        <v>43</v>
      </c>
      <c r="G15" s="162">
        <v>0.2</v>
      </c>
      <c r="H15" s="163">
        <f>C14*E14*G15</f>
        <v>4.8000000000000001E-2</v>
      </c>
      <c r="I15" s="161" t="s">
        <v>339</v>
      </c>
      <c r="J15" s="164" t="s">
        <v>37</v>
      </c>
      <c r="K15" s="165" t="s">
        <v>349</v>
      </c>
    </row>
    <row r="16" spans="1:11" ht="32" x14ac:dyDescent="0.2">
      <c r="A16" s="54"/>
      <c r="B16" s="63"/>
      <c r="C16" s="64"/>
      <c r="D16" s="159"/>
      <c r="E16" s="166"/>
      <c r="F16" s="161" t="s">
        <v>340</v>
      </c>
      <c r="G16" s="162">
        <v>0.25</v>
      </c>
      <c r="H16" s="163">
        <f>C14*E14*G16</f>
        <v>0.06</v>
      </c>
      <c r="I16" s="161" t="s">
        <v>341</v>
      </c>
      <c r="J16" s="164" t="s">
        <v>44</v>
      </c>
      <c r="K16" s="165" t="s">
        <v>312</v>
      </c>
    </row>
    <row r="17" spans="1:11" ht="26" customHeight="1" x14ac:dyDescent="0.2">
      <c r="A17" s="54"/>
      <c r="B17" s="63"/>
      <c r="C17" s="64"/>
      <c r="D17" s="159"/>
      <c r="E17" s="166"/>
      <c r="F17" s="167" t="s">
        <v>350</v>
      </c>
      <c r="G17" s="162">
        <v>0.35</v>
      </c>
      <c r="H17" s="163">
        <f>C14*E14*G17</f>
        <v>8.3999999999999991E-2</v>
      </c>
      <c r="I17" s="167" t="s">
        <v>327</v>
      </c>
      <c r="J17" s="168"/>
      <c r="K17" s="165" t="s">
        <v>313</v>
      </c>
    </row>
    <row r="18" spans="1:11" ht="23" customHeight="1" x14ac:dyDescent="0.2">
      <c r="A18" s="54"/>
      <c r="B18" s="63"/>
      <c r="C18" s="64"/>
      <c r="D18" s="147" t="s">
        <v>315</v>
      </c>
      <c r="E18" s="148">
        <v>0.4</v>
      </c>
      <c r="F18" s="149" t="s">
        <v>45</v>
      </c>
      <c r="G18" s="150">
        <v>0.3</v>
      </c>
      <c r="H18" s="151">
        <f>C14*E18*G18</f>
        <v>4.8000000000000008E-2</v>
      </c>
      <c r="I18" s="149" t="s">
        <v>46</v>
      </c>
      <c r="J18" s="152" t="s">
        <v>342</v>
      </c>
      <c r="K18" s="153" t="s">
        <v>312</v>
      </c>
    </row>
    <row r="19" spans="1:11" ht="23" customHeight="1" x14ac:dyDescent="0.2">
      <c r="A19" s="54"/>
      <c r="B19" s="63"/>
      <c r="C19" s="64"/>
      <c r="D19" s="147"/>
      <c r="E19" s="154"/>
      <c r="F19" s="149" t="s">
        <v>47</v>
      </c>
      <c r="G19" s="150">
        <v>0.35</v>
      </c>
      <c r="H19" s="151">
        <f>C14*E18*G19</f>
        <v>5.6000000000000008E-2</v>
      </c>
      <c r="I19" s="149" t="s">
        <v>46</v>
      </c>
      <c r="J19" s="152" t="s">
        <v>48</v>
      </c>
      <c r="K19" s="153" t="s">
        <v>312</v>
      </c>
    </row>
    <row r="20" spans="1:11" ht="23" customHeight="1" x14ac:dyDescent="0.2">
      <c r="A20" s="54"/>
      <c r="B20" s="65"/>
      <c r="C20" s="66"/>
      <c r="D20" s="147"/>
      <c r="E20" s="154"/>
      <c r="F20" s="155" t="s">
        <v>49</v>
      </c>
      <c r="G20" s="156">
        <v>0.35</v>
      </c>
      <c r="H20" s="157">
        <f>C14*E18*G20</f>
        <v>5.6000000000000008E-2</v>
      </c>
      <c r="I20" s="155" t="s">
        <v>327</v>
      </c>
      <c r="J20" s="158"/>
      <c r="K20" s="153" t="s">
        <v>313</v>
      </c>
    </row>
    <row r="21" spans="1:11" ht="23" customHeight="1" x14ac:dyDescent="0.2">
      <c r="A21" s="54"/>
      <c r="B21" s="69" t="s">
        <v>50</v>
      </c>
      <c r="C21" s="70">
        <v>0.3</v>
      </c>
      <c r="D21" s="122" t="s">
        <v>51</v>
      </c>
      <c r="E21" s="123">
        <v>0.33300000000000002</v>
      </c>
      <c r="F21" s="124" t="s">
        <v>52</v>
      </c>
      <c r="G21" s="125">
        <v>0.4</v>
      </c>
      <c r="H21" s="126">
        <f>C21*E21*G21</f>
        <v>3.9960000000000002E-2</v>
      </c>
      <c r="I21" s="124" t="s">
        <v>53</v>
      </c>
      <c r="J21" s="127" t="s">
        <v>345</v>
      </c>
      <c r="K21" s="124" t="s">
        <v>313</v>
      </c>
    </row>
    <row r="22" spans="1:11" ht="23" customHeight="1" x14ac:dyDescent="0.2">
      <c r="A22" s="54"/>
      <c r="B22" s="71"/>
      <c r="C22" s="72"/>
      <c r="D22" s="122"/>
      <c r="E22" s="128"/>
      <c r="F22" s="124" t="s">
        <v>329</v>
      </c>
      <c r="G22" s="125">
        <v>0.4</v>
      </c>
      <c r="H22" s="126">
        <f>C21*E21*G22</f>
        <v>3.9960000000000002E-2</v>
      </c>
      <c r="I22" s="124" t="s">
        <v>54</v>
      </c>
      <c r="J22" s="127" t="s">
        <v>55</v>
      </c>
      <c r="K22" s="124" t="s">
        <v>312</v>
      </c>
    </row>
    <row r="23" spans="1:11" ht="23" customHeight="1" x14ac:dyDescent="0.2">
      <c r="A23" s="54"/>
      <c r="B23" s="71"/>
      <c r="C23" s="72"/>
      <c r="D23" s="122"/>
      <c r="E23" s="128"/>
      <c r="F23" s="124" t="s">
        <v>56</v>
      </c>
      <c r="G23" s="129">
        <v>0.2</v>
      </c>
      <c r="H23" s="126">
        <f>C21*E21*G23</f>
        <v>1.9980000000000001E-2</v>
      </c>
      <c r="I23" s="130" t="s">
        <v>327</v>
      </c>
      <c r="J23" s="131"/>
      <c r="K23" s="124" t="s">
        <v>313</v>
      </c>
    </row>
    <row r="24" spans="1:11" ht="23" customHeight="1" x14ac:dyDescent="0.2">
      <c r="A24" s="54"/>
      <c r="B24" s="71"/>
      <c r="C24" s="72"/>
      <c r="D24" s="132" t="s">
        <v>57</v>
      </c>
      <c r="E24" s="133">
        <v>0.33300000000000002</v>
      </c>
      <c r="F24" s="134" t="s">
        <v>58</v>
      </c>
      <c r="G24" s="135">
        <v>0.2</v>
      </c>
      <c r="H24" s="136">
        <f>C21*E24*G24</f>
        <v>1.9980000000000001E-2</v>
      </c>
      <c r="I24" s="134" t="s">
        <v>54</v>
      </c>
      <c r="J24" s="137" t="s">
        <v>343</v>
      </c>
      <c r="K24" s="134" t="s">
        <v>312</v>
      </c>
    </row>
    <row r="25" spans="1:11" ht="24" customHeight="1" x14ac:dyDescent="0.2">
      <c r="A25" s="54"/>
      <c r="B25" s="71"/>
      <c r="C25" s="72"/>
      <c r="D25" s="138"/>
      <c r="E25" s="139"/>
      <c r="F25" s="134" t="s">
        <v>344</v>
      </c>
      <c r="G25" s="135">
        <v>0.2</v>
      </c>
      <c r="H25" s="136">
        <f>C21*E24*G25</f>
        <v>1.9980000000000001E-2</v>
      </c>
      <c r="I25" s="134" t="s">
        <v>54</v>
      </c>
      <c r="J25" s="137" t="s">
        <v>59</v>
      </c>
      <c r="K25" s="134" t="s">
        <v>349</v>
      </c>
    </row>
    <row r="26" spans="1:11" ht="23" customHeight="1" x14ac:dyDescent="0.2">
      <c r="A26" s="54"/>
      <c r="B26" s="71"/>
      <c r="C26" s="72"/>
      <c r="D26" s="138"/>
      <c r="E26" s="139"/>
      <c r="F26" s="134" t="s">
        <v>330</v>
      </c>
      <c r="G26" s="135">
        <v>0.2</v>
      </c>
      <c r="H26" s="136">
        <f>C21*E24*G26</f>
        <v>1.9980000000000001E-2</v>
      </c>
      <c r="I26" s="140" t="s">
        <v>60</v>
      </c>
      <c r="J26" s="137" t="s">
        <v>61</v>
      </c>
      <c r="K26" s="134" t="s">
        <v>313</v>
      </c>
    </row>
    <row r="27" spans="1:11" ht="23" customHeight="1" x14ac:dyDescent="0.2">
      <c r="A27" s="54"/>
      <c r="B27" s="71"/>
      <c r="C27" s="72"/>
      <c r="D27" s="138"/>
      <c r="E27" s="139"/>
      <c r="F27" s="134" t="s">
        <v>62</v>
      </c>
      <c r="G27" s="135">
        <v>0.2</v>
      </c>
      <c r="H27" s="136">
        <f>C21*E24*G27</f>
        <v>1.9980000000000001E-2</v>
      </c>
      <c r="I27" s="134" t="s">
        <v>63</v>
      </c>
      <c r="J27" s="137" t="s">
        <v>64</v>
      </c>
      <c r="K27" s="134" t="s">
        <v>312</v>
      </c>
    </row>
    <row r="28" spans="1:11" ht="23" customHeight="1" x14ac:dyDescent="0.2">
      <c r="A28" s="54"/>
      <c r="B28" s="71"/>
      <c r="C28" s="72"/>
      <c r="D28" s="141"/>
      <c r="E28" s="142"/>
      <c r="F28" s="143" t="s">
        <v>65</v>
      </c>
      <c r="G28" s="144">
        <v>0.2</v>
      </c>
      <c r="H28" s="145">
        <f>C21*E24*G28</f>
        <v>1.9980000000000001E-2</v>
      </c>
      <c r="I28" s="143" t="s">
        <v>327</v>
      </c>
      <c r="J28" s="146"/>
      <c r="K28" s="134" t="s">
        <v>313</v>
      </c>
    </row>
    <row r="29" spans="1:11" ht="23" customHeight="1" x14ac:dyDescent="0.2">
      <c r="A29" s="54"/>
      <c r="B29" s="71"/>
      <c r="C29" s="72"/>
      <c r="D29" s="50" t="s">
        <v>66</v>
      </c>
      <c r="E29" s="52">
        <v>0.33300000000000002</v>
      </c>
      <c r="F29" s="41" t="s">
        <v>67</v>
      </c>
      <c r="G29" s="42">
        <v>0.65</v>
      </c>
      <c r="H29" s="43">
        <f>C21*E29*G29</f>
        <v>6.4935000000000007E-2</v>
      </c>
      <c r="I29" s="41" t="s">
        <v>68</v>
      </c>
      <c r="J29" s="44" t="s">
        <v>69</v>
      </c>
      <c r="K29" s="41" t="s">
        <v>349</v>
      </c>
    </row>
    <row r="30" spans="1:11" ht="23" customHeight="1" x14ac:dyDescent="0.2">
      <c r="A30" s="55"/>
      <c r="B30" s="73"/>
      <c r="C30" s="74"/>
      <c r="D30" s="51"/>
      <c r="E30" s="53"/>
      <c r="F30" s="45" t="s">
        <v>70</v>
      </c>
      <c r="G30" s="46">
        <v>0.35</v>
      </c>
      <c r="H30" s="47">
        <f>C21*E29*G30</f>
        <v>3.4964999999999996E-2</v>
      </c>
      <c r="I30" s="45" t="s">
        <v>327</v>
      </c>
      <c r="J30" s="48"/>
      <c r="K30" s="41" t="s">
        <v>313</v>
      </c>
    </row>
    <row r="31" spans="1:11" x14ac:dyDescent="0.2">
      <c r="H31" s="49"/>
      <c r="I31" s="49"/>
    </row>
    <row r="36" spans="8:8" x14ac:dyDescent="0.2">
      <c r="H36" s="49"/>
    </row>
  </sheetData>
  <mergeCells count="25">
    <mergeCell ref="A2:A30"/>
    <mergeCell ref="D14:D17"/>
    <mergeCell ref="B2:B13"/>
    <mergeCell ref="C2:C13"/>
    <mergeCell ref="D2:D4"/>
    <mergeCell ref="D12:D13"/>
    <mergeCell ref="E2:E4"/>
    <mergeCell ref="D5:D8"/>
    <mergeCell ref="E5:E8"/>
    <mergeCell ref="D9:D11"/>
    <mergeCell ref="E9:E11"/>
    <mergeCell ref="E12:E13"/>
    <mergeCell ref="E24:E28"/>
    <mergeCell ref="D29:D30"/>
    <mergeCell ref="E29:E30"/>
    <mergeCell ref="B14:B20"/>
    <mergeCell ref="C14:C20"/>
    <mergeCell ref="E14:E17"/>
    <mergeCell ref="D18:D20"/>
    <mergeCell ref="E18:E20"/>
    <mergeCell ref="B21:B30"/>
    <mergeCell ref="C21:C30"/>
    <mergeCell ref="D21:D23"/>
    <mergeCell ref="E21:E23"/>
    <mergeCell ref="D24:D28"/>
  </mergeCells>
  <hyperlinks>
    <hyperlink ref="J2" r:id="rId1" location="/indicies/HDI" xr:uid="{457E84D0-4E83-DF48-94B3-79E14F37A2E7}"/>
    <hyperlink ref="J4" r:id="rId2" xr:uid="{03998B67-79EE-8B41-9FDC-7D8F24B387DC}"/>
    <hyperlink ref="J5" r:id="rId3" xr:uid="{37BAF69D-9F81-844D-A8FB-036D055A9852}"/>
    <hyperlink ref="J7" r:id="rId4" xr:uid="{C02C6728-E89C-854E-90EC-4D3690304FA6}"/>
    <hyperlink ref="J11" r:id="rId5" xr:uid="{585BFDC6-945C-1F4D-B268-2D976345BC0A}"/>
    <hyperlink ref="J22" r:id="rId6" xr:uid="{306C00B7-ED35-3942-90A0-5FF8044A81CC}"/>
    <hyperlink ref="J26" r:id="rId7" xr:uid="{F069C903-24D6-DE4F-80EC-82B62C782A6F}"/>
    <hyperlink ref="J27" r:id="rId8" xr:uid="{EDE9F1AF-1C93-3C4A-B636-52EF7CA6CDEE}"/>
    <hyperlink ref="J29" r:id="rId9" xr:uid="{8B3CBC91-6B00-8B47-B9AC-71BE39612DD2}"/>
    <hyperlink ref="J21" r:id="rId10" xr:uid="{E5CFDB51-7F13-C64D-9622-EBB1A04EDA3D}"/>
    <hyperlink ref="J3" r:id="rId11" xr:uid="{844FA16E-BEEA-A042-94E7-3652D846D952}"/>
    <hyperlink ref="J6" r:id="rId12" xr:uid="{66F5E4D0-05C0-0B42-86CA-6823F691CE56}"/>
    <hyperlink ref="J9" r:id="rId13" xr:uid="{79AE238D-2A73-A44A-88F1-96AEA146D110}"/>
    <hyperlink ref="J10" r:id="rId14" xr:uid="{694F4FAF-928E-2043-9C60-2ED1AFABE36C}"/>
    <hyperlink ref="J12" r:id="rId15" xr:uid="{956E3CF4-58E0-914E-AD21-4C78EAC213E0}"/>
    <hyperlink ref="J14:J15" r:id="rId16" display="https://epi.yale.edu/measure/2024/EPI" xr:uid="{35EB7570-8DEF-8249-AD7E-6929256B689B}"/>
    <hyperlink ref="J19" r:id="rId17" xr:uid="{F1ADDA72-8BBD-F841-B214-E495D6A43B77}"/>
    <hyperlink ref="J18" r:id="rId18" xr:uid="{07F2A217-6ACF-F04A-A351-33F14B556403}"/>
    <hyperlink ref="J25" r:id="rId19" xr:uid="{09A88BEA-0BA7-FF44-A2D5-41FC925883DD}"/>
    <hyperlink ref="J24" r:id="rId20" xr:uid="{87715B62-8179-074B-9111-7478ED8C69FB}"/>
    <hyperlink ref="J13" r:id="rId21" display="https://gain.nd.edu/our-work/country-index/" xr:uid="{7AF205E8-2445-B84A-A1B3-6771DF52A2D2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A25C-5506-DA42-A0F2-923834943CD4}">
  <dimension ref="A1:R190"/>
  <sheetViews>
    <sheetView workbookViewId="0">
      <pane ySplit="1" topLeftCell="A2" activePane="bottomLeft" state="frozen"/>
      <selection activeCell="J1" sqref="J1"/>
      <selection pane="bottomLeft"/>
    </sheetView>
  </sheetViews>
  <sheetFormatPr baseColWidth="10" defaultRowHeight="16" x14ac:dyDescent="0.2"/>
  <cols>
    <col min="1" max="1" width="18.6640625" style="2" customWidth="1"/>
    <col min="2" max="2" width="26.6640625" style="2" customWidth="1"/>
    <col min="3" max="3" width="29.5" style="2" customWidth="1"/>
    <col min="4" max="4" width="21.6640625" style="2" customWidth="1"/>
    <col min="5" max="5" width="18.6640625" style="2" customWidth="1"/>
    <col min="6" max="6" width="20.1640625" style="2" customWidth="1"/>
    <col min="7" max="7" width="20" style="2" customWidth="1"/>
    <col min="8" max="8" width="27.33203125" style="2" customWidth="1"/>
    <col min="9" max="9" width="22" style="2" customWidth="1"/>
    <col min="10" max="10" width="23.33203125" style="2" customWidth="1"/>
    <col min="11" max="11" width="20.83203125" style="2" customWidth="1"/>
    <col min="12" max="12" width="19.83203125" style="2" customWidth="1"/>
    <col min="13" max="13" width="24.5" style="2" customWidth="1"/>
    <col min="14" max="14" width="19.6640625" style="2" customWidth="1"/>
    <col min="15" max="15" width="20.6640625" style="2" customWidth="1"/>
    <col min="16" max="16" width="20.1640625" style="2" customWidth="1"/>
    <col min="17" max="17" width="18.6640625" style="2" customWidth="1"/>
    <col min="18" max="16384" width="10.83203125" style="2"/>
  </cols>
  <sheetData>
    <row r="1" spans="1:18" x14ac:dyDescent="0.2">
      <c r="A1" s="8" t="s">
        <v>271</v>
      </c>
      <c r="B1" s="8" t="s">
        <v>297</v>
      </c>
      <c r="C1" s="8" t="s">
        <v>298</v>
      </c>
      <c r="D1" s="8" t="s">
        <v>299</v>
      </c>
      <c r="E1" s="7" t="s">
        <v>300</v>
      </c>
      <c r="F1" s="7" t="s">
        <v>288</v>
      </c>
      <c r="G1" s="7" t="s">
        <v>301</v>
      </c>
      <c r="H1" s="7" t="s">
        <v>302</v>
      </c>
      <c r="I1" s="7" t="s">
        <v>303</v>
      </c>
      <c r="J1" s="7" t="s">
        <v>275</v>
      </c>
      <c r="K1" s="7" t="s">
        <v>276</v>
      </c>
      <c r="L1" s="7" t="s">
        <v>277</v>
      </c>
      <c r="M1" s="7" t="s">
        <v>304</v>
      </c>
      <c r="N1" s="7" t="s">
        <v>305</v>
      </c>
      <c r="O1" s="7" t="s">
        <v>306</v>
      </c>
      <c r="P1" s="7" t="s">
        <v>307</v>
      </c>
      <c r="Q1" s="7" t="s">
        <v>272</v>
      </c>
      <c r="R1" s="7" t="s">
        <v>308</v>
      </c>
    </row>
    <row r="2" spans="1:18" x14ac:dyDescent="0.2">
      <c r="A2" s="2" t="s">
        <v>78</v>
      </c>
      <c r="B2" s="2" t="s">
        <v>72</v>
      </c>
      <c r="C2" s="2" t="s">
        <v>73</v>
      </c>
      <c r="D2" s="2" t="s">
        <v>309</v>
      </c>
      <c r="E2" s="1">
        <v>0.86194071000000005</v>
      </c>
      <c r="F2" s="6">
        <v>0.69685691522573956</v>
      </c>
      <c r="G2" s="6">
        <v>0.72628679446655164</v>
      </c>
      <c r="H2" s="6">
        <v>0.82299539833189528</v>
      </c>
      <c r="I2" s="6">
        <v>0.67062551757545119</v>
      </c>
      <c r="J2" s="6">
        <v>0.62836402136369107</v>
      </c>
      <c r="K2" s="6">
        <v>0.83838531002981931</v>
      </c>
      <c r="L2" s="6">
        <v>0.49755754482659686</v>
      </c>
      <c r="M2" s="6">
        <v>0.85975829935934778</v>
      </c>
      <c r="N2" s="6">
        <v>0.7770199551942194</v>
      </c>
      <c r="O2" s="6">
        <v>0.65372091909074714</v>
      </c>
      <c r="P2" s="6">
        <v>0.73187049345033772</v>
      </c>
      <c r="Q2" s="6">
        <f t="shared" ref="Q2:Q33" si="0">(0.3*N2)+ (0.4*O2)+(0.3*P2)</f>
        <v>0.71415550222966595</v>
      </c>
      <c r="R2" s="6">
        <f t="shared" ref="R2:R33" si="1">RANK(Q2,$Q$2:$Q$187,0)</f>
        <v>1</v>
      </c>
    </row>
    <row r="3" spans="1:18" x14ac:dyDescent="0.2">
      <c r="A3" s="2" t="s">
        <v>89</v>
      </c>
      <c r="B3" s="2" t="s">
        <v>72</v>
      </c>
      <c r="C3" s="2" t="s">
        <v>73</v>
      </c>
      <c r="D3" s="2" t="s">
        <v>309</v>
      </c>
      <c r="E3" s="1">
        <v>0.81547638</v>
      </c>
      <c r="F3" s="6">
        <v>0.6162138372254149</v>
      </c>
      <c r="G3" s="6">
        <v>0.6419254282471063</v>
      </c>
      <c r="H3" s="6">
        <v>0.77945786597641642</v>
      </c>
      <c r="I3" s="6">
        <v>0.62028271729744522</v>
      </c>
      <c r="J3" s="6">
        <v>0.7427142789754233</v>
      </c>
      <c r="K3" s="6">
        <v>0.75812182583262533</v>
      </c>
      <c r="L3" s="6">
        <v>0.50210224873694353</v>
      </c>
      <c r="M3" s="6">
        <v>0.84837507280139779</v>
      </c>
      <c r="N3" s="6">
        <v>0.71326837860478598</v>
      </c>
      <c r="O3" s="6">
        <v>0.66925534196863645</v>
      </c>
      <c r="P3" s="6">
        <v>0.70283915526360774</v>
      </c>
      <c r="Q3" s="6">
        <f t="shared" si="0"/>
        <v>0.6925343969479727</v>
      </c>
      <c r="R3" s="6">
        <f t="shared" si="1"/>
        <v>2</v>
      </c>
    </row>
    <row r="4" spans="1:18" x14ac:dyDescent="0.2">
      <c r="A4" s="2" t="s">
        <v>77</v>
      </c>
      <c r="B4" s="2" t="s">
        <v>72</v>
      </c>
      <c r="C4" s="2" t="s">
        <v>73</v>
      </c>
      <c r="D4" s="2" t="s">
        <v>309</v>
      </c>
      <c r="E4" s="1">
        <v>0.82584678</v>
      </c>
      <c r="F4" s="6">
        <v>0.76316359957911273</v>
      </c>
      <c r="G4" s="6">
        <v>0.68687803238099154</v>
      </c>
      <c r="H4" s="6">
        <v>0.81279551337359779</v>
      </c>
      <c r="I4" s="6">
        <v>0.63427793433162738</v>
      </c>
      <c r="J4" s="6">
        <v>0.41608094721449129</v>
      </c>
      <c r="K4" s="6">
        <v>0.89311962580948201</v>
      </c>
      <c r="L4" s="6">
        <v>0.53676641339605879</v>
      </c>
      <c r="M4" s="6">
        <v>0.93726849155503789</v>
      </c>
      <c r="N4" s="6">
        <v>0.77217098225849379</v>
      </c>
      <c r="O4" s="6">
        <v>0.54699913948477297</v>
      </c>
      <c r="P4" s="6">
        <v>0.78901963795512398</v>
      </c>
      <c r="Q4" s="6">
        <f t="shared" si="0"/>
        <v>0.68715684185799453</v>
      </c>
      <c r="R4" s="6">
        <f t="shared" si="1"/>
        <v>3</v>
      </c>
    </row>
    <row r="5" spans="1:18" x14ac:dyDescent="0.2">
      <c r="A5" s="2" t="s">
        <v>79</v>
      </c>
      <c r="B5" s="2" t="s">
        <v>72</v>
      </c>
      <c r="C5" s="2" t="s">
        <v>73</v>
      </c>
      <c r="D5" s="2" t="s">
        <v>309</v>
      </c>
      <c r="E5" s="1">
        <v>0.93041956000000003</v>
      </c>
      <c r="F5" s="6">
        <v>0.75660963567396988</v>
      </c>
      <c r="G5" s="6">
        <v>0.7700412334133292</v>
      </c>
      <c r="H5" s="6">
        <v>0.79371584699453557</v>
      </c>
      <c r="I5" s="6">
        <v>0.69155204818769622</v>
      </c>
      <c r="J5" s="6">
        <v>0.30146731239943181</v>
      </c>
      <c r="K5" s="6">
        <v>0.87775043844976464</v>
      </c>
      <c r="L5" s="6">
        <v>0.4533983188358835</v>
      </c>
      <c r="M5" s="6">
        <v>0.90038439138031467</v>
      </c>
      <c r="N5" s="6">
        <v>0.81269657019928376</v>
      </c>
      <c r="O5" s="6">
        <v>0.53551815387239043</v>
      </c>
      <c r="P5" s="6">
        <v>0.743813313084846</v>
      </c>
      <c r="Q5" s="6">
        <f t="shared" si="0"/>
        <v>0.68116022653419506</v>
      </c>
      <c r="R5" s="6">
        <f t="shared" si="1"/>
        <v>4</v>
      </c>
    </row>
    <row r="6" spans="1:18" x14ac:dyDescent="0.2">
      <c r="A6" s="2" t="s">
        <v>85</v>
      </c>
      <c r="B6" s="2" t="s">
        <v>72</v>
      </c>
      <c r="C6" s="2" t="s">
        <v>73</v>
      </c>
      <c r="D6" s="2" t="s">
        <v>309</v>
      </c>
      <c r="E6" s="1">
        <v>0.86996892999999997</v>
      </c>
      <c r="F6" s="6">
        <v>0.7141083111912786</v>
      </c>
      <c r="G6" s="6">
        <v>0.69217289887786027</v>
      </c>
      <c r="H6" s="6">
        <v>0.74396174863387965</v>
      </c>
      <c r="I6" s="6">
        <v>0.75714793285735349</v>
      </c>
      <c r="J6" s="6">
        <v>0.3878896279174594</v>
      </c>
      <c r="K6" s="6">
        <v>0.79422328145693655</v>
      </c>
      <c r="L6" s="6">
        <v>0.47446891268985969</v>
      </c>
      <c r="M6" s="6">
        <v>0.82086779266161924</v>
      </c>
      <c r="N6" s="6">
        <v>0.75505297098268409</v>
      </c>
      <c r="O6" s="6">
        <v>0.60944461088139579</v>
      </c>
      <c r="P6" s="6">
        <v>0.69649166630778336</v>
      </c>
      <c r="Q6" s="6">
        <f t="shared" si="0"/>
        <v>0.67924123553969851</v>
      </c>
      <c r="R6" s="6">
        <f t="shared" si="1"/>
        <v>5</v>
      </c>
    </row>
    <row r="7" spans="1:18" x14ac:dyDescent="0.2">
      <c r="A7" s="2" t="s">
        <v>92</v>
      </c>
      <c r="B7" s="2" t="s">
        <v>72</v>
      </c>
      <c r="C7" s="2" t="s">
        <v>73</v>
      </c>
      <c r="D7" s="2" t="s">
        <v>309</v>
      </c>
      <c r="E7" s="1">
        <v>0.79772074000000004</v>
      </c>
      <c r="F7" s="6">
        <v>0.63103289399408602</v>
      </c>
      <c r="G7" s="6">
        <v>0.65681447863092879</v>
      </c>
      <c r="H7" s="6">
        <v>0.69039976991659469</v>
      </c>
      <c r="I7" s="6">
        <v>0.57707055874981572</v>
      </c>
      <c r="J7" s="6">
        <v>0.74443946517393367</v>
      </c>
      <c r="K7" s="6">
        <v>0.75066608186258521</v>
      </c>
      <c r="L7" s="6">
        <v>0.47378798273364375</v>
      </c>
      <c r="M7" s="6">
        <v>0.90294117647058836</v>
      </c>
      <c r="N7" s="6">
        <v>0.69399197166878945</v>
      </c>
      <c r="O7" s="6">
        <v>0.6440181213194629</v>
      </c>
      <c r="P7" s="6">
        <v>0.70910484454587575</v>
      </c>
      <c r="Q7" s="6">
        <f t="shared" si="0"/>
        <v>0.67853629339218469</v>
      </c>
      <c r="R7" s="6">
        <f t="shared" si="1"/>
        <v>6</v>
      </c>
    </row>
    <row r="8" spans="1:18" x14ac:dyDescent="0.2">
      <c r="A8" s="2" t="s">
        <v>84</v>
      </c>
      <c r="B8" s="2" t="s">
        <v>72</v>
      </c>
      <c r="C8" s="2" t="s">
        <v>73</v>
      </c>
      <c r="D8" s="2" t="s">
        <v>309</v>
      </c>
      <c r="E8" s="1">
        <v>0.85381987999999998</v>
      </c>
      <c r="F8" s="6">
        <v>0.66586939424139402</v>
      </c>
      <c r="G8" s="6">
        <v>0.6910750208199582</v>
      </c>
      <c r="H8" s="6">
        <v>0.85122519413287301</v>
      </c>
      <c r="I8" s="6">
        <v>0.60133863018891764</v>
      </c>
      <c r="J8" s="6">
        <v>0.46826684696867255</v>
      </c>
      <c r="K8" s="6">
        <v>0.8396467559097317</v>
      </c>
      <c r="L8" s="6">
        <v>0.57681263940842609</v>
      </c>
      <c r="M8" s="6">
        <v>0.84654047757716955</v>
      </c>
      <c r="N8" s="6">
        <v>0.76549737287425379</v>
      </c>
      <c r="O8" s="6">
        <v>0.54810991690081956</v>
      </c>
      <c r="P8" s="6">
        <v>0.75430309785095484</v>
      </c>
      <c r="Q8" s="6">
        <f t="shared" si="0"/>
        <v>0.67518410797789041</v>
      </c>
      <c r="R8" s="6">
        <f t="shared" si="1"/>
        <v>7</v>
      </c>
    </row>
    <row r="9" spans="1:18" x14ac:dyDescent="0.2">
      <c r="A9" s="2" t="s">
        <v>74</v>
      </c>
      <c r="B9" s="2" t="s">
        <v>75</v>
      </c>
      <c r="C9" s="2" t="s">
        <v>76</v>
      </c>
      <c r="D9" s="2" t="s">
        <v>309</v>
      </c>
      <c r="E9" s="1">
        <v>0.94466925999999996</v>
      </c>
      <c r="F9" s="6">
        <v>0.78231667460128262</v>
      </c>
      <c r="G9" s="6">
        <v>0.69646014701224956</v>
      </c>
      <c r="H9" s="6">
        <v>0.69745757837215994</v>
      </c>
      <c r="I9" s="6">
        <v>0.58245692803437166</v>
      </c>
      <c r="J9" s="6">
        <v>0.33851701600180301</v>
      </c>
      <c r="K9" s="6">
        <v>0.93694916750826418</v>
      </c>
      <c r="L9" s="6">
        <v>0.52507798632694158</v>
      </c>
      <c r="M9" s="6">
        <v>0.92599009900990104</v>
      </c>
      <c r="N9" s="6">
        <v>0.78022591609825853</v>
      </c>
      <c r="O9" s="6">
        <v>0.48488096322134422</v>
      </c>
      <c r="P9" s="6">
        <v>0.79597246038613134</v>
      </c>
      <c r="Q9" s="6">
        <f t="shared" si="0"/>
        <v>0.66681189823385467</v>
      </c>
      <c r="R9" s="6">
        <f t="shared" si="1"/>
        <v>8</v>
      </c>
    </row>
    <row r="10" spans="1:18" x14ac:dyDescent="0.2">
      <c r="A10" s="2" t="s">
        <v>81</v>
      </c>
      <c r="B10" s="2" t="s">
        <v>82</v>
      </c>
      <c r="C10" s="2" t="s">
        <v>82</v>
      </c>
      <c r="D10" s="2" t="s">
        <v>309</v>
      </c>
      <c r="E10" s="1">
        <v>0.87897945</v>
      </c>
      <c r="F10" s="6">
        <v>0.73914203184320204</v>
      </c>
      <c r="G10" s="6">
        <v>0.6770728080553472</v>
      </c>
      <c r="H10" s="6">
        <v>0.69839804429105556</v>
      </c>
      <c r="I10" s="6">
        <v>0.6107350687643478</v>
      </c>
      <c r="J10" s="6">
        <v>0.27409285553301782</v>
      </c>
      <c r="K10" s="6">
        <v>0.87800662748759639</v>
      </c>
      <c r="L10" s="6">
        <v>0.60451260416337016</v>
      </c>
      <c r="M10" s="6">
        <v>0.91993302271403632</v>
      </c>
      <c r="N10" s="6">
        <v>0.74839808408042607</v>
      </c>
      <c r="O10" s="6">
        <v>0.4760781834718158</v>
      </c>
      <c r="P10" s="6">
        <v>0.80078582954772992</v>
      </c>
      <c r="Q10" s="6">
        <f t="shared" si="0"/>
        <v>0.65518644747717314</v>
      </c>
      <c r="R10" s="6">
        <f t="shared" si="1"/>
        <v>9</v>
      </c>
    </row>
    <row r="11" spans="1:18" x14ac:dyDescent="0.2">
      <c r="A11" s="2" t="s">
        <v>95</v>
      </c>
      <c r="B11" s="2" t="s">
        <v>75</v>
      </c>
      <c r="C11" s="2" t="s">
        <v>96</v>
      </c>
      <c r="D11" s="2" t="s">
        <v>309</v>
      </c>
      <c r="E11" s="1">
        <v>0.78716575</v>
      </c>
      <c r="F11" s="6">
        <v>0.73141089196570808</v>
      </c>
      <c r="G11" s="6">
        <v>0.58815545995761065</v>
      </c>
      <c r="H11" s="6">
        <v>0.7558973252804142</v>
      </c>
      <c r="I11" s="6">
        <v>0.50654682504580784</v>
      </c>
      <c r="J11" s="6">
        <v>0.61888270411078095</v>
      </c>
      <c r="K11" s="6">
        <v>0.79014168884866398</v>
      </c>
      <c r="L11" s="6">
        <v>0.49628910631863515</v>
      </c>
      <c r="M11" s="6">
        <v>0.90979324403028539</v>
      </c>
      <c r="N11" s="6">
        <v>0.71565735755707838</v>
      </c>
      <c r="O11" s="6">
        <v>0.55148117667179708</v>
      </c>
      <c r="P11" s="6">
        <v>0.7320463841147975</v>
      </c>
      <c r="Q11" s="6">
        <f t="shared" si="0"/>
        <v>0.65490359317028157</v>
      </c>
      <c r="R11" s="6">
        <f t="shared" si="1"/>
        <v>10</v>
      </c>
    </row>
    <row r="12" spans="1:18" x14ac:dyDescent="0.2">
      <c r="A12" s="2" t="s">
        <v>91</v>
      </c>
      <c r="B12" s="2" t="s">
        <v>75</v>
      </c>
      <c r="C12" s="2" t="s">
        <v>76</v>
      </c>
      <c r="D12" s="2" t="s">
        <v>309</v>
      </c>
      <c r="E12" s="1">
        <v>0.87838468999999997</v>
      </c>
      <c r="F12" s="6">
        <v>0.72578559471471393</v>
      </c>
      <c r="G12" s="6">
        <v>0.76969486458535497</v>
      </c>
      <c r="H12" s="6">
        <v>0.69799539833189528</v>
      </c>
      <c r="I12" s="6">
        <v>0.51636371180050966</v>
      </c>
      <c r="J12" s="6">
        <v>0.3561077304485013</v>
      </c>
      <c r="K12" s="6">
        <v>0.8891128769110922</v>
      </c>
      <c r="L12" s="6">
        <v>0.56294194307057877</v>
      </c>
      <c r="M12" s="6">
        <v>0.9601048340128131</v>
      </c>
      <c r="N12" s="6">
        <v>0.76796513691944468</v>
      </c>
      <c r="O12" s="6">
        <v>0.45226131925970625</v>
      </c>
      <c r="P12" s="6">
        <v>0.80402138439417603</v>
      </c>
      <c r="Q12" s="6">
        <f t="shared" si="0"/>
        <v>0.65250048409796868</v>
      </c>
      <c r="R12" s="6">
        <f t="shared" si="1"/>
        <v>11</v>
      </c>
    </row>
    <row r="13" spans="1:18" x14ac:dyDescent="0.2">
      <c r="A13" s="2" t="s">
        <v>93</v>
      </c>
      <c r="B13" s="2" t="s">
        <v>72</v>
      </c>
      <c r="C13" s="2" t="s">
        <v>73</v>
      </c>
      <c r="D13" s="2" t="s">
        <v>309</v>
      </c>
      <c r="E13" s="1">
        <v>0.79295444000000004</v>
      </c>
      <c r="F13" s="6">
        <v>0.57202829698740498</v>
      </c>
      <c r="G13" s="6">
        <v>0.5849723683065865</v>
      </c>
      <c r="H13" s="6">
        <v>0.63886683922922072</v>
      </c>
      <c r="I13" s="6">
        <v>0.50773296687095892</v>
      </c>
      <c r="J13" s="6">
        <v>0.78122317090428783</v>
      </c>
      <c r="K13" s="6">
        <v>0.67149434874803671</v>
      </c>
      <c r="L13" s="6">
        <v>0.43914433795749597</v>
      </c>
      <c r="M13" s="6">
        <v>0.90619394292370425</v>
      </c>
      <c r="N13" s="6">
        <v>0.64720548551270674</v>
      </c>
      <c r="O13" s="6">
        <v>0.61712904848429051</v>
      </c>
      <c r="P13" s="6">
        <v>0.67225339418567986</v>
      </c>
      <c r="Q13" s="6">
        <f t="shared" si="0"/>
        <v>0.64268928330323216</v>
      </c>
      <c r="R13" s="6">
        <f t="shared" si="1"/>
        <v>12</v>
      </c>
    </row>
    <row r="14" spans="1:18" x14ac:dyDescent="0.2">
      <c r="A14" s="2" t="s">
        <v>87</v>
      </c>
      <c r="B14" s="2" t="s">
        <v>72</v>
      </c>
      <c r="C14" s="2" t="s">
        <v>73</v>
      </c>
      <c r="D14" s="2" t="s">
        <v>309</v>
      </c>
      <c r="E14" s="1">
        <v>0.87754273999999999</v>
      </c>
      <c r="F14" s="6">
        <v>0.75216510434356643</v>
      </c>
      <c r="G14" s="6">
        <v>0.67062514939280182</v>
      </c>
      <c r="H14" s="6">
        <v>0.67610152430255965</v>
      </c>
      <c r="I14" s="6">
        <v>0.60151456793243618</v>
      </c>
      <c r="J14" s="6">
        <v>0.35817229324234368</v>
      </c>
      <c r="K14" s="6">
        <v>0.91479134731729883</v>
      </c>
      <c r="L14" s="6">
        <v>0.39875590511276171</v>
      </c>
      <c r="M14" s="6">
        <v>0.81868957483983706</v>
      </c>
      <c r="N14" s="6">
        <v>0.74410862929332966</v>
      </c>
      <c r="O14" s="6">
        <v>0.50417765805639925</v>
      </c>
      <c r="P14" s="6">
        <v>0.71071351396217997</v>
      </c>
      <c r="Q14" s="6">
        <f t="shared" si="0"/>
        <v>0.6381177061992126</v>
      </c>
      <c r="R14" s="6">
        <f t="shared" si="1"/>
        <v>13</v>
      </c>
    </row>
    <row r="15" spans="1:18" x14ac:dyDescent="0.2">
      <c r="A15" s="2" t="s">
        <v>83</v>
      </c>
      <c r="B15" s="2" t="s">
        <v>72</v>
      </c>
      <c r="C15" s="2" t="s">
        <v>73</v>
      </c>
      <c r="D15" s="2" t="s">
        <v>309</v>
      </c>
      <c r="E15" s="1">
        <v>0.91552581</v>
      </c>
      <c r="F15" s="6">
        <v>0.79151519393777914</v>
      </c>
      <c r="G15" s="6">
        <v>0.79311860942832024</v>
      </c>
      <c r="H15" s="6">
        <v>0.90591601955708945</v>
      </c>
      <c r="I15" s="6">
        <v>0.50933287209620692</v>
      </c>
      <c r="J15" s="6">
        <v>0.28242291303048883</v>
      </c>
      <c r="K15" s="6">
        <v>0.88284813252942929</v>
      </c>
      <c r="L15" s="6">
        <v>0.43279409536173485</v>
      </c>
      <c r="M15" s="6">
        <v>0.808622597553873</v>
      </c>
      <c r="N15" s="6">
        <v>0.85151890842833122</v>
      </c>
      <c r="O15" s="6">
        <v>0.41856888846991969</v>
      </c>
      <c r="P15" s="6">
        <v>0.70805713468941101</v>
      </c>
      <c r="Q15" s="6">
        <f t="shared" si="0"/>
        <v>0.63530036832329051</v>
      </c>
      <c r="R15" s="6">
        <f t="shared" si="1"/>
        <v>14</v>
      </c>
    </row>
    <row r="16" spans="1:18" x14ac:dyDescent="0.2">
      <c r="A16" s="2" t="s">
        <v>105</v>
      </c>
      <c r="B16" s="2" t="s">
        <v>72</v>
      </c>
      <c r="C16" s="2" t="s">
        <v>73</v>
      </c>
      <c r="D16" s="2" t="s">
        <v>309</v>
      </c>
      <c r="E16" s="1">
        <v>0.77862381000000003</v>
      </c>
      <c r="F16" s="6">
        <v>0.573702916096131</v>
      </c>
      <c r="G16" s="6">
        <v>0.52877186712337287</v>
      </c>
      <c r="H16" s="6">
        <v>0.66196865113603687</v>
      </c>
      <c r="I16" s="6">
        <v>0.76368668941260709</v>
      </c>
      <c r="J16" s="6">
        <v>0.45164315926851895</v>
      </c>
      <c r="K16" s="6">
        <v>0.77721429504347017</v>
      </c>
      <c r="L16" s="6">
        <v>0.36060179842045953</v>
      </c>
      <c r="M16" s="6">
        <v>0.7437099592312173</v>
      </c>
      <c r="N16" s="6">
        <v>0.63576681117843625</v>
      </c>
      <c r="O16" s="6">
        <v>0.63886927735497179</v>
      </c>
      <c r="P16" s="6">
        <v>0.6271479938458997</v>
      </c>
      <c r="Q16" s="6">
        <f t="shared" si="0"/>
        <v>0.63442215244928957</v>
      </c>
      <c r="R16" s="6">
        <f t="shared" si="1"/>
        <v>15</v>
      </c>
    </row>
    <row r="17" spans="1:18" x14ac:dyDescent="0.2">
      <c r="A17" s="2" t="s">
        <v>80</v>
      </c>
      <c r="B17" s="2" t="s">
        <v>72</v>
      </c>
      <c r="C17" s="2" t="s">
        <v>73</v>
      </c>
      <c r="D17" s="2" t="s">
        <v>309</v>
      </c>
      <c r="E17" s="1">
        <v>0.92230383000000005</v>
      </c>
      <c r="F17" s="6">
        <v>0.72783498550021242</v>
      </c>
      <c r="G17" s="6">
        <v>0.86772307258878212</v>
      </c>
      <c r="H17" s="6">
        <v>0.74523871153293064</v>
      </c>
      <c r="I17" s="6">
        <v>0.54693527305659106</v>
      </c>
      <c r="J17" s="6">
        <v>0.26832214307802776</v>
      </c>
      <c r="K17" s="6">
        <v>0.89381585451518064</v>
      </c>
      <c r="L17" s="6">
        <v>0.42891529405854117</v>
      </c>
      <c r="M17" s="6">
        <v>0.79519510774606883</v>
      </c>
      <c r="N17" s="6">
        <v>0.81577515036803683</v>
      </c>
      <c r="O17" s="6">
        <v>0.43549002106516571</v>
      </c>
      <c r="P17" s="6">
        <v>0.70594393012876355</v>
      </c>
      <c r="Q17" s="6">
        <f t="shared" si="0"/>
        <v>0.63071173257510638</v>
      </c>
      <c r="R17" s="6">
        <f t="shared" si="1"/>
        <v>16</v>
      </c>
    </row>
    <row r="18" spans="1:18" x14ac:dyDescent="0.2">
      <c r="A18" s="2" t="s">
        <v>86</v>
      </c>
      <c r="B18" s="2" t="s">
        <v>72</v>
      </c>
      <c r="C18" s="2" t="s">
        <v>143</v>
      </c>
      <c r="D18" s="2" t="s">
        <v>309</v>
      </c>
      <c r="E18" s="1">
        <v>0.90945144</v>
      </c>
      <c r="F18" s="6">
        <v>0.78846247441650863</v>
      </c>
      <c r="G18" s="6">
        <v>0.72775763694988127</v>
      </c>
      <c r="H18" s="6">
        <v>0.85486482599942459</v>
      </c>
      <c r="I18" s="6">
        <v>0.46572580189970725</v>
      </c>
      <c r="J18" s="6">
        <v>0.3262407555911967</v>
      </c>
      <c r="K18" s="6">
        <v>0.91688385270610717</v>
      </c>
      <c r="L18" s="6">
        <v>0.50125325560484768</v>
      </c>
      <c r="M18" s="6">
        <v>0.75114735002912059</v>
      </c>
      <c r="N18" s="6">
        <v>0.82013409374438173</v>
      </c>
      <c r="O18" s="6">
        <v>0.40993178337630304</v>
      </c>
      <c r="P18" s="6">
        <v>0.72306233542496623</v>
      </c>
      <c r="Q18" s="6">
        <f t="shared" si="0"/>
        <v>0.62693164210132557</v>
      </c>
      <c r="R18" s="6">
        <f t="shared" si="1"/>
        <v>17</v>
      </c>
    </row>
    <row r="19" spans="1:18" x14ac:dyDescent="0.2">
      <c r="A19" s="2" t="s">
        <v>90</v>
      </c>
      <c r="B19" s="2" t="s">
        <v>72</v>
      </c>
      <c r="C19" s="2" t="s">
        <v>73</v>
      </c>
      <c r="D19" s="2" t="s">
        <v>309</v>
      </c>
      <c r="E19" s="1">
        <v>0.88504364999999996</v>
      </c>
      <c r="F19" s="6">
        <v>0.78869310259271719</v>
      </c>
      <c r="G19" s="6">
        <v>0.56689748370900506</v>
      </c>
      <c r="H19" s="6">
        <v>0.78276100086281264</v>
      </c>
      <c r="I19" s="6">
        <v>0.80183373349339737</v>
      </c>
      <c r="J19" s="6">
        <v>7.1095176571920757E-2</v>
      </c>
      <c r="K19" s="6">
        <v>0.7749720803354021</v>
      </c>
      <c r="L19" s="6">
        <v>0.33005102922928842</v>
      </c>
      <c r="M19" s="6">
        <v>0.74752475247524752</v>
      </c>
      <c r="N19" s="6">
        <v>0.75584880842354996</v>
      </c>
      <c r="O19" s="6">
        <v>0.50953831072480671</v>
      </c>
      <c r="P19" s="6">
        <v>0.61748877226561993</v>
      </c>
      <c r="Q19" s="6">
        <f t="shared" si="0"/>
        <v>0.61581659849667369</v>
      </c>
      <c r="R19" s="6">
        <f t="shared" si="1"/>
        <v>18</v>
      </c>
    </row>
    <row r="20" spans="1:18" x14ac:dyDescent="0.2">
      <c r="A20" s="2" t="s">
        <v>112</v>
      </c>
      <c r="B20" s="2" t="s">
        <v>310</v>
      </c>
      <c r="C20" s="2" t="s">
        <v>100</v>
      </c>
      <c r="D20" s="2" t="s">
        <v>309</v>
      </c>
      <c r="E20" s="1">
        <v>0.76410968000000001</v>
      </c>
      <c r="F20" s="6">
        <v>0.62245607364147526</v>
      </c>
      <c r="G20" s="6">
        <v>0.48842579749061654</v>
      </c>
      <c r="H20" s="6">
        <v>0.61378199597354044</v>
      </c>
      <c r="I20" s="6">
        <v>0.64570157115477766</v>
      </c>
      <c r="J20" s="6">
        <v>0.51174950600395197</v>
      </c>
      <c r="K20" s="6">
        <v>0.73384921532799896</v>
      </c>
      <c r="L20" s="6">
        <v>0.34408335534630419</v>
      </c>
      <c r="M20" s="6">
        <v>0.83467384973791503</v>
      </c>
      <c r="N20" s="6">
        <v>0.62219338557990667</v>
      </c>
      <c r="O20" s="6">
        <v>0.59212074509444745</v>
      </c>
      <c r="P20" s="6">
        <v>0.63750958666109403</v>
      </c>
      <c r="Q20" s="6">
        <f t="shared" si="0"/>
        <v>0.61475918971007915</v>
      </c>
      <c r="R20" s="6">
        <f t="shared" si="1"/>
        <v>19</v>
      </c>
    </row>
    <row r="21" spans="1:18" x14ac:dyDescent="0.2">
      <c r="A21" s="2" t="s">
        <v>98</v>
      </c>
      <c r="B21" s="2" t="s">
        <v>72</v>
      </c>
      <c r="C21" s="2" t="s">
        <v>73</v>
      </c>
      <c r="D21" s="2" t="s">
        <v>309</v>
      </c>
      <c r="E21" s="1">
        <v>0.82005543000000003</v>
      </c>
      <c r="F21" s="6">
        <v>0.68223945411110154</v>
      </c>
      <c r="G21" s="6">
        <v>0.67828229932106721</v>
      </c>
      <c r="H21" s="6">
        <v>0.6890005752085131</v>
      </c>
      <c r="I21" s="6">
        <v>0.52983169057096524</v>
      </c>
      <c r="J21" s="6">
        <v>0.43237574099407194</v>
      </c>
      <c r="K21" s="6">
        <v>0.77473033182375761</v>
      </c>
      <c r="L21" s="6">
        <v>0.41217930613484943</v>
      </c>
      <c r="M21" s="6">
        <v>0.82847990681421091</v>
      </c>
      <c r="N21" s="6">
        <v>0.71739444005060315</v>
      </c>
      <c r="O21" s="6">
        <v>0.49084931074020788</v>
      </c>
      <c r="P21" s="6">
        <v>0.67176904048888919</v>
      </c>
      <c r="Q21" s="6">
        <f t="shared" si="0"/>
        <v>0.61308876845793081</v>
      </c>
      <c r="R21" s="6">
        <f t="shared" si="1"/>
        <v>20</v>
      </c>
    </row>
    <row r="22" spans="1:18" x14ac:dyDescent="0.2">
      <c r="A22" s="2" t="s">
        <v>94</v>
      </c>
      <c r="B22" s="2" t="s">
        <v>72</v>
      </c>
      <c r="C22" s="2" t="s">
        <v>73</v>
      </c>
      <c r="D22" s="2" t="s">
        <v>309</v>
      </c>
      <c r="E22" s="1">
        <v>0.87214380999999996</v>
      </c>
      <c r="F22" s="6">
        <v>0.67579255071479283</v>
      </c>
      <c r="G22" s="6">
        <v>0.74065202456773604</v>
      </c>
      <c r="H22" s="6">
        <v>0.72431837791199305</v>
      </c>
      <c r="I22" s="6">
        <v>0.5262599524020134</v>
      </c>
      <c r="J22" s="6">
        <v>0.46554475840055348</v>
      </c>
      <c r="K22" s="6">
        <v>0.72729795548954179</v>
      </c>
      <c r="L22" s="6">
        <v>0.46560104264804175</v>
      </c>
      <c r="M22" s="6">
        <v>0.66758590564938847</v>
      </c>
      <c r="N22" s="6">
        <v>0.75322669130892805</v>
      </c>
      <c r="O22" s="6">
        <v>0.50197387480142941</v>
      </c>
      <c r="P22" s="6">
        <v>0.62013561679836371</v>
      </c>
      <c r="Q22" s="6">
        <f t="shared" si="0"/>
        <v>0.61279824235275926</v>
      </c>
      <c r="R22" s="6">
        <f t="shared" si="1"/>
        <v>21</v>
      </c>
    </row>
    <row r="23" spans="1:18" x14ac:dyDescent="0.2">
      <c r="A23" s="2" t="s">
        <v>88</v>
      </c>
      <c r="B23" s="2" t="s">
        <v>72</v>
      </c>
      <c r="C23" s="2" t="s">
        <v>73</v>
      </c>
      <c r="D23" s="2" t="s">
        <v>309</v>
      </c>
      <c r="E23" s="1">
        <v>0.92733135</v>
      </c>
      <c r="F23" s="6">
        <v>0.7161939370660968</v>
      </c>
      <c r="G23" s="6">
        <v>0.68954824031800888</v>
      </c>
      <c r="H23" s="6">
        <v>0.75746476847857336</v>
      </c>
      <c r="I23" s="6">
        <v>0.47463716223331442</v>
      </c>
      <c r="J23" s="6">
        <v>0.34460797417068939</v>
      </c>
      <c r="K23" s="6">
        <v>0.84001790853001923</v>
      </c>
      <c r="L23" s="6">
        <v>0.5040371746108987</v>
      </c>
      <c r="M23" s="6">
        <v>0.74917297612114164</v>
      </c>
      <c r="N23" s="6">
        <v>0.77263457297692728</v>
      </c>
      <c r="O23" s="6">
        <v>0.42262548700826441</v>
      </c>
      <c r="P23" s="6">
        <v>0.69771275597549476</v>
      </c>
      <c r="Q23" s="6">
        <f t="shared" si="0"/>
        <v>0.61015439348903233</v>
      </c>
      <c r="R23" s="6">
        <f t="shared" si="1"/>
        <v>22</v>
      </c>
    </row>
    <row r="24" spans="1:18" x14ac:dyDescent="0.2">
      <c r="A24" s="2" t="s">
        <v>164</v>
      </c>
      <c r="B24" s="2" t="s">
        <v>72</v>
      </c>
      <c r="C24" s="2" t="s">
        <v>100</v>
      </c>
      <c r="D24" s="2" t="s">
        <v>309</v>
      </c>
      <c r="E24" s="1">
        <v>0.87902458999999999</v>
      </c>
      <c r="F24" s="6">
        <v>0.64644234085351115</v>
      </c>
      <c r="G24" s="6">
        <v>0.61853061278168076</v>
      </c>
      <c r="H24" s="6">
        <v>0.71350158182341095</v>
      </c>
      <c r="I24" s="6">
        <v>0.68374931656873272</v>
      </c>
      <c r="J24" s="6">
        <v>0.26745679827664826</v>
      </c>
      <c r="K24" s="6">
        <v>0.76149984902488999</v>
      </c>
      <c r="L24" s="6">
        <v>0.36602010722565576</v>
      </c>
      <c r="M24" s="6">
        <v>0.75748398369248693</v>
      </c>
      <c r="N24" s="6">
        <v>0.71437478035578517</v>
      </c>
      <c r="O24" s="6">
        <v>0.51723230925189889</v>
      </c>
      <c r="P24" s="6">
        <v>0.6283077907576915</v>
      </c>
      <c r="Q24" s="6">
        <f t="shared" si="0"/>
        <v>0.60969769503480253</v>
      </c>
      <c r="R24" s="6">
        <f t="shared" si="1"/>
        <v>23</v>
      </c>
    </row>
    <row r="25" spans="1:18" x14ac:dyDescent="0.2">
      <c r="A25" s="2" t="s">
        <v>281</v>
      </c>
      <c r="B25" s="2" t="s">
        <v>82</v>
      </c>
      <c r="C25" s="2" t="s">
        <v>82</v>
      </c>
      <c r="D25" s="2" t="s">
        <v>309</v>
      </c>
      <c r="E25" s="1">
        <v>0.75937661000000001</v>
      </c>
      <c r="F25" s="6">
        <v>0.5577265858912468</v>
      </c>
      <c r="G25" s="6">
        <v>0.73116861217832285</v>
      </c>
      <c r="H25" s="6">
        <v>0.70295513373597929</v>
      </c>
      <c r="I25" s="6">
        <v>0.44492641267033123</v>
      </c>
      <c r="J25" s="6">
        <v>0.24273157538877616</v>
      </c>
      <c r="K25" s="6">
        <v>0.88743402668006577</v>
      </c>
      <c r="L25" s="6">
        <v>0.75200206250554702</v>
      </c>
      <c r="M25" s="6">
        <v>0.9135643564356436</v>
      </c>
      <c r="N25" s="6">
        <v>0.68780673608941256</v>
      </c>
      <c r="O25" s="6">
        <v>0.36404847775770915</v>
      </c>
      <c r="P25" s="6">
        <v>0.85096775621120224</v>
      </c>
      <c r="Q25" s="6">
        <f t="shared" si="0"/>
        <v>0.6072517387932681</v>
      </c>
      <c r="R25" s="6">
        <f t="shared" si="1"/>
        <v>24</v>
      </c>
    </row>
    <row r="26" spans="1:18" x14ac:dyDescent="0.2">
      <c r="A26" s="2" t="s">
        <v>103</v>
      </c>
      <c r="B26" s="2" t="s">
        <v>72</v>
      </c>
      <c r="C26" s="2" t="s">
        <v>100</v>
      </c>
      <c r="D26" s="2" t="s">
        <v>309</v>
      </c>
      <c r="E26" s="1">
        <v>0.83875679999999997</v>
      </c>
      <c r="F26" s="6">
        <v>0.61018332836974187</v>
      </c>
      <c r="G26" s="6">
        <v>0.62094686171100022</v>
      </c>
      <c r="H26" s="6">
        <v>0.68572044866264026</v>
      </c>
      <c r="I26" s="6">
        <v>0.59649981045049594</v>
      </c>
      <c r="J26" s="6">
        <v>0.44006111399384668</v>
      </c>
      <c r="K26" s="6">
        <v>0.78821467355432029</v>
      </c>
      <c r="L26" s="6">
        <v>0.39082438913010509</v>
      </c>
      <c r="M26" s="6">
        <v>0.66551252184041931</v>
      </c>
      <c r="N26" s="6">
        <v>0.68890185865236053</v>
      </c>
      <c r="O26" s="6">
        <v>0.53392433186783628</v>
      </c>
      <c r="P26" s="6">
        <v>0.61482272976702534</v>
      </c>
      <c r="Q26" s="6">
        <f t="shared" si="0"/>
        <v>0.60468710927295033</v>
      </c>
      <c r="R26" s="6">
        <f t="shared" si="1"/>
        <v>25</v>
      </c>
    </row>
    <row r="27" spans="1:18" x14ac:dyDescent="0.2">
      <c r="A27" s="2" t="s">
        <v>104</v>
      </c>
      <c r="B27" s="2" t="s">
        <v>72</v>
      </c>
      <c r="C27" s="2" t="s">
        <v>100</v>
      </c>
      <c r="D27" s="2" t="s">
        <v>309</v>
      </c>
      <c r="E27" s="1">
        <v>0.79914286000000001</v>
      </c>
      <c r="F27" s="6">
        <v>0.71061860769238627</v>
      </c>
      <c r="G27" s="6">
        <v>0.59458673130561479</v>
      </c>
      <c r="H27" s="6">
        <v>0.89263157894736844</v>
      </c>
      <c r="I27" s="6">
        <v>0.52932551125713445</v>
      </c>
      <c r="J27" s="6">
        <v>0.37128140216257577</v>
      </c>
      <c r="K27" s="6">
        <v>0.86301179883405343</v>
      </c>
      <c r="L27" s="6">
        <v>0.40562528308841239</v>
      </c>
      <c r="M27" s="6">
        <v>0.60856144437973203</v>
      </c>
      <c r="N27" s="6">
        <v>0.7492449443966902</v>
      </c>
      <c r="O27" s="6">
        <v>0.466107867619311</v>
      </c>
      <c r="P27" s="6">
        <v>0.62570252010267968</v>
      </c>
      <c r="Q27" s="6">
        <f t="shared" si="0"/>
        <v>0.5989273863975354</v>
      </c>
      <c r="R27" s="6">
        <f t="shared" si="1"/>
        <v>26</v>
      </c>
    </row>
    <row r="28" spans="1:18" x14ac:dyDescent="0.2">
      <c r="A28" s="2" t="s">
        <v>71</v>
      </c>
      <c r="B28" s="2" t="s">
        <v>72</v>
      </c>
      <c r="C28" s="2" t="s">
        <v>73</v>
      </c>
      <c r="D28" s="2" t="s">
        <v>309</v>
      </c>
      <c r="E28" s="1">
        <v>0.93981817999999995</v>
      </c>
      <c r="F28" s="6">
        <v>0.70224105941502191</v>
      </c>
      <c r="G28" s="6">
        <v>0.66741058698215894</v>
      </c>
      <c r="H28" s="6">
        <v>0.68892436008052904</v>
      </c>
      <c r="I28" s="6">
        <v>0.49033343337334934</v>
      </c>
      <c r="J28" s="6">
        <v>0.25365452248795811</v>
      </c>
      <c r="K28" s="6">
        <v>0.81406234820913403</v>
      </c>
      <c r="L28" s="6">
        <v>0.44393938686641843</v>
      </c>
      <c r="M28" s="6">
        <v>0.8931887012230636</v>
      </c>
      <c r="N28" s="6">
        <v>0.74959854538340731</v>
      </c>
      <c r="O28" s="6">
        <v>0.39566186901919287</v>
      </c>
      <c r="P28" s="6">
        <v>0.71703456582707503</v>
      </c>
      <c r="Q28" s="6">
        <f t="shared" si="0"/>
        <v>0.59825468097082179</v>
      </c>
      <c r="R28" s="6">
        <f t="shared" si="1"/>
        <v>27</v>
      </c>
    </row>
    <row r="29" spans="1:18" x14ac:dyDescent="0.2">
      <c r="A29" s="2" t="s">
        <v>101</v>
      </c>
      <c r="B29" s="2" t="s">
        <v>72</v>
      </c>
      <c r="C29" s="2" t="s">
        <v>73</v>
      </c>
      <c r="D29" s="2" t="s">
        <v>309</v>
      </c>
      <c r="E29" s="1">
        <v>0.75686993999999996</v>
      </c>
      <c r="F29" s="6">
        <v>0.58592987479152314</v>
      </c>
      <c r="G29" s="6">
        <v>0.66040031350781048</v>
      </c>
      <c r="H29" s="6">
        <v>0.7614480874316939</v>
      </c>
      <c r="I29" s="6">
        <v>0.50758603441376549</v>
      </c>
      <c r="J29" s="6">
        <v>0.50145394698911372</v>
      </c>
      <c r="K29" s="6">
        <v>0.5831974294549418</v>
      </c>
      <c r="L29" s="6">
        <v>0.45060867334010846</v>
      </c>
      <c r="M29" s="6">
        <v>0.84443214909726283</v>
      </c>
      <c r="N29" s="6">
        <v>0.69116205436314193</v>
      </c>
      <c r="O29" s="6">
        <v>0.50513319944390478</v>
      </c>
      <c r="P29" s="6">
        <v>0.62605819387682837</v>
      </c>
      <c r="Q29" s="6">
        <f t="shared" si="0"/>
        <v>0.59721935424955297</v>
      </c>
      <c r="R29" s="6">
        <f t="shared" si="1"/>
        <v>28</v>
      </c>
    </row>
    <row r="30" spans="1:18" x14ac:dyDescent="0.2">
      <c r="A30" s="2" t="s">
        <v>166</v>
      </c>
      <c r="B30" s="2" t="s">
        <v>75</v>
      </c>
      <c r="C30" s="2" t="s">
        <v>146</v>
      </c>
      <c r="D30" s="2" t="s">
        <v>309</v>
      </c>
      <c r="E30" s="1">
        <v>0.69898652999999999</v>
      </c>
      <c r="F30" s="6">
        <v>0.7772339334723456</v>
      </c>
      <c r="G30" s="6">
        <v>0.55283668367983396</v>
      </c>
      <c r="H30" s="6">
        <v>0.67795225769341372</v>
      </c>
      <c r="I30" s="6">
        <v>0.44473140835281488</v>
      </c>
      <c r="J30" s="6">
        <v>0.30264032370499661</v>
      </c>
      <c r="K30" s="6">
        <v>0.95322650059492164</v>
      </c>
      <c r="L30" s="6">
        <v>0.51458847679497177</v>
      </c>
      <c r="M30" s="6">
        <v>0.82647350029120559</v>
      </c>
      <c r="N30" s="6">
        <v>0.67675235035924408</v>
      </c>
      <c r="O30" s="6">
        <v>0.38789497449368759</v>
      </c>
      <c r="P30" s="6">
        <v>0.76472906089092374</v>
      </c>
      <c r="Q30" s="6">
        <f t="shared" si="0"/>
        <v>0.58760241317252537</v>
      </c>
      <c r="R30" s="6">
        <f t="shared" si="1"/>
        <v>29</v>
      </c>
    </row>
    <row r="31" spans="1:18" x14ac:dyDescent="0.2">
      <c r="A31" s="2" t="s">
        <v>120</v>
      </c>
      <c r="B31" s="2" t="s">
        <v>116</v>
      </c>
      <c r="C31" s="2" t="s">
        <v>121</v>
      </c>
      <c r="D31" s="2" t="s">
        <v>311</v>
      </c>
      <c r="E31" s="1">
        <v>0.78796153000000002</v>
      </c>
      <c r="F31" s="6">
        <v>0.59189191983558109</v>
      </c>
      <c r="G31" s="6">
        <v>0.4250394400635768</v>
      </c>
      <c r="H31" s="6">
        <v>0.52963042853034226</v>
      </c>
      <c r="I31" s="6">
        <v>0.735867744992734</v>
      </c>
      <c r="J31" s="6">
        <v>0.20963829530743061</v>
      </c>
      <c r="K31" s="6">
        <v>0.70713297171137268</v>
      </c>
      <c r="L31" s="6">
        <v>0.3399619437471369</v>
      </c>
      <c r="M31" s="6">
        <v>0.89640652300524182</v>
      </c>
      <c r="N31" s="6">
        <v>0.58363082938269772</v>
      </c>
      <c r="O31" s="6">
        <v>0.52537596511861262</v>
      </c>
      <c r="P31" s="6">
        <v>0.64780880971353993</v>
      </c>
      <c r="Q31" s="6">
        <f t="shared" si="0"/>
        <v>0.57958227777631632</v>
      </c>
      <c r="R31" s="6">
        <f t="shared" si="1"/>
        <v>30</v>
      </c>
    </row>
    <row r="32" spans="1:18" x14ac:dyDescent="0.2">
      <c r="A32" s="2" t="s">
        <v>282</v>
      </c>
      <c r="B32" s="2" t="s">
        <v>75</v>
      </c>
      <c r="C32" s="2" t="s">
        <v>96</v>
      </c>
      <c r="D32" s="2" t="s">
        <v>309</v>
      </c>
      <c r="E32" s="1">
        <v>0.74988575999999996</v>
      </c>
      <c r="F32" s="6">
        <v>0.61888799879637846</v>
      </c>
      <c r="G32" s="6">
        <v>0.61590433831218272</v>
      </c>
      <c r="H32" s="6">
        <v>0.69335921771642217</v>
      </c>
      <c r="I32" s="6">
        <v>0.33776112550283272</v>
      </c>
      <c r="J32" s="6">
        <v>0.42517073656514193</v>
      </c>
      <c r="K32" s="6">
        <v>0.86852539057966127</v>
      </c>
      <c r="L32" s="6">
        <v>0.55829672312106182</v>
      </c>
      <c r="M32" s="6">
        <v>0.77650844496214333</v>
      </c>
      <c r="N32" s="6">
        <v>0.66950932886682046</v>
      </c>
      <c r="O32" s="6">
        <v>0.37272496992775639</v>
      </c>
      <c r="P32" s="6">
        <v>0.73441244888271084</v>
      </c>
      <c r="Q32" s="6">
        <f t="shared" si="0"/>
        <v>0.57026652129596189</v>
      </c>
      <c r="R32" s="6">
        <f t="shared" si="1"/>
        <v>31</v>
      </c>
    </row>
    <row r="33" spans="1:18" x14ac:dyDescent="0.2">
      <c r="A33" s="2" t="s">
        <v>283</v>
      </c>
      <c r="B33" s="2" t="s">
        <v>72</v>
      </c>
      <c r="C33" s="2" t="s">
        <v>100</v>
      </c>
      <c r="D33" s="2" t="s">
        <v>309</v>
      </c>
      <c r="E33" s="1">
        <v>0.74577552000000003</v>
      </c>
      <c r="F33" s="6">
        <v>0.58395227298818275</v>
      </c>
      <c r="G33" s="6">
        <v>0.60399638619336971</v>
      </c>
      <c r="H33" s="6">
        <v>0.59160051768766175</v>
      </c>
      <c r="I33" s="6">
        <v>0.62557049977885892</v>
      </c>
      <c r="J33" s="6">
        <v>0.33163985722596978</v>
      </c>
      <c r="K33" s="6">
        <v>0.71736930316424041</v>
      </c>
      <c r="L33" s="6">
        <v>0.32486274772127682</v>
      </c>
      <c r="M33" s="6">
        <v>0.64084449621432737</v>
      </c>
      <c r="N33" s="6">
        <v>0.63133117312077425</v>
      </c>
      <c r="O33" s="6">
        <v>0.50799824275770322</v>
      </c>
      <c r="P33" s="6">
        <v>0.5610003068991849</v>
      </c>
      <c r="Q33" s="6">
        <f t="shared" si="0"/>
        <v>0.56089874110906901</v>
      </c>
      <c r="R33" s="6">
        <f t="shared" si="1"/>
        <v>32</v>
      </c>
    </row>
    <row r="34" spans="1:18" x14ac:dyDescent="0.2">
      <c r="A34" s="2" t="s">
        <v>129</v>
      </c>
      <c r="B34" s="2" t="s">
        <v>72</v>
      </c>
      <c r="C34" s="2" t="s">
        <v>100</v>
      </c>
      <c r="D34" s="2" t="s">
        <v>309</v>
      </c>
      <c r="E34" s="1">
        <v>0.64575698999999998</v>
      </c>
      <c r="F34" s="6">
        <v>0.56393736510063575</v>
      </c>
      <c r="G34" s="6">
        <v>0.53790992124487413</v>
      </c>
      <c r="H34" s="6">
        <v>0.53921627840092035</v>
      </c>
      <c r="I34" s="6">
        <v>0.6269975969335102</v>
      </c>
      <c r="J34" s="6">
        <v>0.40004979270510665</v>
      </c>
      <c r="K34" s="6">
        <v>0.70764664623706697</v>
      </c>
      <c r="L34" s="6">
        <v>0.37196443934751589</v>
      </c>
      <c r="M34" s="6">
        <v>0.66648223645894</v>
      </c>
      <c r="N34" s="6">
        <v>0.57170513856782168</v>
      </c>
      <c r="O34" s="6">
        <v>0.53621847524214883</v>
      </c>
      <c r="P34" s="6">
        <v>0.5820060570840897</v>
      </c>
      <c r="Q34" s="6">
        <f t="shared" ref="Q34:Q65" si="2">(0.3*N34)+ (0.4*O34)+(0.3*P34)</f>
        <v>0.56060074879243293</v>
      </c>
      <c r="R34" s="6">
        <f t="shared" ref="R34:R65" si="3">RANK(Q34,$Q$2:$Q$187,0)</f>
        <v>33</v>
      </c>
    </row>
    <row r="35" spans="1:18" x14ac:dyDescent="0.2">
      <c r="A35" s="2" t="s">
        <v>97</v>
      </c>
      <c r="B35" s="2" t="s">
        <v>72</v>
      </c>
      <c r="C35" s="2" t="s">
        <v>73</v>
      </c>
      <c r="D35" s="2" t="s">
        <v>309</v>
      </c>
      <c r="E35" s="1">
        <v>0.84346836999999997</v>
      </c>
      <c r="F35" s="6">
        <v>0.70836444484325312</v>
      </c>
      <c r="G35" s="6">
        <v>0.60900138822874372</v>
      </c>
      <c r="H35" s="6">
        <v>0.70569456427955135</v>
      </c>
      <c r="I35" s="6">
        <v>0.42921021461216063</v>
      </c>
      <c r="J35" s="6">
        <v>0.33712989606427979</v>
      </c>
      <c r="K35" s="6">
        <v>0.62537396232533737</v>
      </c>
      <c r="L35" s="6">
        <v>0.41260309568775211</v>
      </c>
      <c r="M35" s="6">
        <v>0.69263832265579506</v>
      </c>
      <c r="N35" s="6">
        <v>0.71663219282468904</v>
      </c>
      <c r="O35" s="6">
        <v>0.39237808719300826</v>
      </c>
      <c r="P35" s="6">
        <v>0.57684934153445755</v>
      </c>
      <c r="Q35" s="6">
        <f t="shared" si="2"/>
        <v>0.54499569518494728</v>
      </c>
      <c r="R35" s="6">
        <f t="shared" si="3"/>
        <v>34</v>
      </c>
    </row>
    <row r="36" spans="1:18" x14ac:dyDescent="0.2">
      <c r="A36" s="2" t="s">
        <v>115</v>
      </c>
      <c r="B36" s="2" t="s">
        <v>116</v>
      </c>
      <c r="C36" s="2" t="s">
        <v>117</v>
      </c>
      <c r="D36" s="2" t="s">
        <v>311</v>
      </c>
      <c r="E36" s="1">
        <v>0.73980946000000003</v>
      </c>
      <c r="F36" s="6">
        <v>0.63300778242023448</v>
      </c>
      <c r="G36" s="6">
        <v>0.47954521628130631</v>
      </c>
      <c r="H36" s="6">
        <v>0.56421196433707221</v>
      </c>
      <c r="I36" s="6">
        <v>0.56856155936058639</v>
      </c>
      <c r="J36" s="6">
        <v>0.26209045500049793</v>
      </c>
      <c r="K36" s="6">
        <v>0.76384658125688909</v>
      </c>
      <c r="L36" s="6">
        <v>0.31093876128780618</v>
      </c>
      <c r="M36" s="6">
        <v>0.77814210832847985</v>
      </c>
      <c r="N36" s="6">
        <v>0.60414360473018958</v>
      </c>
      <c r="O36" s="6">
        <v>0.44597311761655101</v>
      </c>
      <c r="P36" s="6">
        <v>0.61761572622844274</v>
      </c>
      <c r="Q36" s="6">
        <f t="shared" si="2"/>
        <v>0.54491704633421012</v>
      </c>
      <c r="R36" s="6">
        <f t="shared" si="3"/>
        <v>35</v>
      </c>
    </row>
    <row r="37" spans="1:18" x14ac:dyDescent="0.2">
      <c r="A37" s="2" t="s">
        <v>179</v>
      </c>
      <c r="B37" s="2" t="s">
        <v>75</v>
      </c>
      <c r="C37" s="2" t="s">
        <v>146</v>
      </c>
      <c r="D37" s="2" t="s">
        <v>311</v>
      </c>
      <c r="E37" s="1">
        <v>0.62975725999999999</v>
      </c>
      <c r="F37" s="6">
        <v>0.42954027698979608</v>
      </c>
      <c r="G37" s="6">
        <v>0.42257726734513745</v>
      </c>
      <c r="H37" s="6">
        <v>0.52968651136036815</v>
      </c>
      <c r="I37" s="6">
        <v>0.52313698953265519</v>
      </c>
      <c r="J37" s="6">
        <v>0.35508462139199443</v>
      </c>
      <c r="K37" s="6">
        <v>0.7447406044382916</v>
      </c>
      <c r="L37" s="6">
        <v>0.45076550106778224</v>
      </c>
      <c r="M37" s="6">
        <v>0.89986313337216073</v>
      </c>
      <c r="N37" s="6">
        <v>0.50289032835031466</v>
      </c>
      <c r="O37" s="6">
        <v>0.45591604227639082</v>
      </c>
      <c r="P37" s="6">
        <v>0.69842978576654891</v>
      </c>
      <c r="Q37" s="6">
        <f t="shared" si="2"/>
        <v>0.54276245114561539</v>
      </c>
      <c r="R37" s="6">
        <f t="shared" si="3"/>
        <v>36</v>
      </c>
    </row>
    <row r="38" spans="1:18" x14ac:dyDescent="0.2">
      <c r="A38" s="2" t="s">
        <v>99</v>
      </c>
      <c r="B38" s="2" t="s">
        <v>72</v>
      </c>
      <c r="C38" s="2" t="s">
        <v>100</v>
      </c>
      <c r="D38" s="2" t="s">
        <v>309</v>
      </c>
      <c r="E38" s="1">
        <v>0.74322253000000005</v>
      </c>
      <c r="F38" s="6">
        <v>0.61728254371030566</v>
      </c>
      <c r="G38" s="6">
        <v>0.57054136404337275</v>
      </c>
      <c r="H38" s="6">
        <v>0.55067299396031066</v>
      </c>
      <c r="I38" s="6">
        <v>0.49076379604473375</v>
      </c>
      <c r="J38" s="6">
        <v>0.32567180841863619</v>
      </c>
      <c r="K38" s="6">
        <v>0.74679108031867092</v>
      </c>
      <c r="L38" s="6">
        <v>0.38539088864475946</v>
      </c>
      <c r="M38" s="6">
        <v>0.69876528829353535</v>
      </c>
      <c r="N38" s="6">
        <v>0.62042985684415153</v>
      </c>
      <c r="O38" s="6">
        <v>0.42472700099429472</v>
      </c>
      <c r="P38" s="6">
        <v>0.61028934182491967</v>
      </c>
      <c r="Q38" s="6">
        <f t="shared" si="2"/>
        <v>0.53910655999843926</v>
      </c>
      <c r="R38" s="6">
        <f t="shared" si="3"/>
        <v>37</v>
      </c>
    </row>
    <row r="39" spans="1:18" x14ac:dyDescent="0.2">
      <c r="A39" s="2" t="s">
        <v>156</v>
      </c>
      <c r="B39" s="2" t="s">
        <v>116</v>
      </c>
      <c r="C39" s="2" t="s">
        <v>117</v>
      </c>
      <c r="D39" s="2" t="s">
        <v>311</v>
      </c>
      <c r="E39" s="1">
        <v>0.59388470000000004</v>
      </c>
      <c r="F39" s="6">
        <v>0.34333398996934616</v>
      </c>
      <c r="G39" s="6">
        <v>0.40790851011786716</v>
      </c>
      <c r="H39" s="6">
        <v>0.47995542134023583</v>
      </c>
      <c r="I39" s="6">
        <v>0.71964242960342029</v>
      </c>
      <c r="J39" s="6">
        <v>0.40920352637178903</v>
      </c>
      <c r="K39" s="6">
        <v>0.47162075262603398</v>
      </c>
      <c r="L39" s="6">
        <v>0.36866203811545828</v>
      </c>
      <c r="M39" s="6">
        <v>0.78799941758881764</v>
      </c>
      <c r="N39" s="6">
        <v>0.45627065497616492</v>
      </c>
      <c r="O39" s="6">
        <v>0.59546686831076778</v>
      </c>
      <c r="P39" s="6">
        <v>0.54274352387841618</v>
      </c>
      <c r="Q39" s="6">
        <f t="shared" si="2"/>
        <v>0.53789100098068143</v>
      </c>
      <c r="R39" s="6">
        <f t="shared" si="3"/>
        <v>38</v>
      </c>
    </row>
    <row r="40" spans="1:18" x14ac:dyDescent="0.2">
      <c r="A40" s="2" t="s">
        <v>189</v>
      </c>
      <c r="B40" s="2" t="s">
        <v>75</v>
      </c>
      <c r="C40" s="2" t="s">
        <v>96</v>
      </c>
      <c r="D40" s="2" t="s">
        <v>311</v>
      </c>
      <c r="E40" s="1">
        <v>0.60172862000000005</v>
      </c>
      <c r="F40" s="6">
        <v>0.48728630859246408</v>
      </c>
      <c r="G40" s="6">
        <v>0.34170818897629474</v>
      </c>
      <c r="H40" s="6">
        <v>0.55365257405809598</v>
      </c>
      <c r="I40" s="6">
        <v>0.23687922958657145</v>
      </c>
      <c r="J40" s="6">
        <v>0.84091728645481179</v>
      </c>
      <c r="K40" s="6">
        <v>0.60338431272687332</v>
      </c>
      <c r="L40" s="6">
        <v>0.56212240426432403</v>
      </c>
      <c r="M40" s="6">
        <v>0.73723645894001177</v>
      </c>
      <c r="N40" s="6">
        <v>0.49609392412181746</v>
      </c>
      <c r="O40" s="6">
        <v>0.47849445233386761</v>
      </c>
      <c r="P40" s="6">
        <v>0.6342254930131449</v>
      </c>
      <c r="Q40" s="6">
        <f t="shared" si="2"/>
        <v>0.53049360607403573</v>
      </c>
      <c r="R40" s="6">
        <f t="shared" si="3"/>
        <v>39</v>
      </c>
    </row>
    <row r="41" spans="1:18" x14ac:dyDescent="0.2">
      <c r="A41" s="2" t="s">
        <v>137</v>
      </c>
      <c r="B41" s="2" t="s">
        <v>116</v>
      </c>
      <c r="C41" s="2" t="s">
        <v>117</v>
      </c>
      <c r="D41" s="2" t="s">
        <v>311</v>
      </c>
      <c r="E41" s="1">
        <v>0.67806438999999996</v>
      </c>
      <c r="F41" s="6">
        <v>0.44177709948629801</v>
      </c>
      <c r="G41" s="6">
        <v>0.38006795278532413</v>
      </c>
      <c r="H41" s="6">
        <v>0.44295800977854477</v>
      </c>
      <c r="I41" s="6">
        <v>0.52745234304248012</v>
      </c>
      <c r="J41" s="6">
        <v>0.4925313563008738</v>
      </c>
      <c r="K41" s="6">
        <v>0.65476078788772285</v>
      </c>
      <c r="L41" s="6">
        <v>0.25335715134386372</v>
      </c>
      <c r="M41" s="6">
        <v>0.80402154921374491</v>
      </c>
      <c r="N41" s="6">
        <v>0.48571686239532863</v>
      </c>
      <c r="O41" s="6">
        <v>0.51348394834583755</v>
      </c>
      <c r="P41" s="6">
        <v>0.57069022492449339</v>
      </c>
      <c r="Q41" s="6">
        <f t="shared" si="2"/>
        <v>0.52231570553428164</v>
      </c>
      <c r="R41" s="6">
        <f t="shared" si="3"/>
        <v>40</v>
      </c>
    </row>
    <row r="42" spans="1:18" x14ac:dyDescent="0.2">
      <c r="A42" s="2" t="s">
        <v>122</v>
      </c>
      <c r="B42" s="2" t="s">
        <v>310</v>
      </c>
      <c r="C42" s="2" t="s">
        <v>100</v>
      </c>
      <c r="D42" s="2" t="s">
        <v>311</v>
      </c>
      <c r="E42" s="1">
        <v>0.57176464000000005</v>
      </c>
      <c r="F42" s="6">
        <v>0.38572838799582532</v>
      </c>
      <c r="G42" s="6">
        <v>0.39526873190186035</v>
      </c>
      <c r="H42" s="6">
        <v>0.49557952257693411</v>
      </c>
      <c r="I42" s="6">
        <v>0.33163330384785494</v>
      </c>
      <c r="J42" s="6">
        <v>0.6662505044787228</v>
      </c>
      <c r="K42" s="6">
        <v>0.68210377749623796</v>
      </c>
      <c r="L42" s="6">
        <v>0.35112258834107879</v>
      </c>
      <c r="M42" s="6">
        <v>0.90664531158998263</v>
      </c>
      <c r="N42" s="6">
        <v>0.46208532143962749</v>
      </c>
      <c r="O42" s="6">
        <v>0.46548018410020209</v>
      </c>
      <c r="P42" s="6">
        <v>0.64659968305945159</v>
      </c>
      <c r="Q42" s="6">
        <f t="shared" si="2"/>
        <v>0.5187975749898045</v>
      </c>
      <c r="R42" s="6">
        <f t="shared" si="3"/>
        <v>41</v>
      </c>
    </row>
    <row r="43" spans="1:18" x14ac:dyDescent="0.2">
      <c r="A43" s="2" t="s">
        <v>132</v>
      </c>
      <c r="B43" s="2" t="s">
        <v>310</v>
      </c>
      <c r="C43" s="2" t="s">
        <v>100</v>
      </c>
      <c r="D43" s="2" t="s">
        <v>311</v>
      </c>
      <c r="E43" s="1">
        <v>0.68438125999999999</v>
      </c>
      <c r="F43" s="6">
        <v>0.58968421100167967</v>
      </c>
      <c r="G43" s="6">
        <v>0.42065472320559649</v>
      </c>
      <c r="H43" s="6">
        <v>0.51408829450675864</v>
      </c>
      <c r="I43" s="6">
        <v>0.58470789789600053</v>
      </c>
      <c r="J43" s="6">
        <v>0.27328490337594541</v>
      </c>
      <c r="K43" s="6">
        <v>0.71596042989231845</v>
      </c>
      <c r="L43" s="6">
        <v>0.34492591213314583</v>
      </c>
      <c r="M43" s="6">
        <v>0.62157251019219573</v>
      </c>
      <c r="N43" s="6">
        <v>0.5522021229648032</v>
      </c>
      <c r="O43" s="6">
        <v>0.46013870008797847</v>
      </c>
      <c r="P43" s="6">
        <v>0.56079439511434637</v>
      </c>
      <c r="Q43" s="6">
        <f t="shared" si="2"/>
        <v>0.51795443545893627</v>
      </c>
      <c r="R43" s="6">
        <f t="shared" si="3"/>
        <v>42</v>
      </c>
    </row>
    <row r="44" spans="1:18" x14ac:dyDescent="0.2">
      <c r="A44" s="2" t="s">
        <v>160</v>
      </c>
      <c r="B44" s="2" t="s">
        <v>114</v>
      </c>
      <c r="C44" s="2" t="s">
        <v>114</v>
      </c>
      <c r="D44" s="2" t="s">
        <v>311</v>
      </c>
      <c r="E44" s="1">
        <v>0.71251997</v>
      </c>
      <c r="F44" s="6">
        <v>0.64704262374257326</v>
      </c>
      <c r="G44" s="6">
        <v>0.4091551886107675</v>
      </c>
      <c r="H44" s="6">
        <v>0.52601668104687949</v>
      </c>
      <c r="I44" s="6">
        <v>0.38657382110739036</v>
      </c>
      <c r="J44" s="6">
        <v>0.35269928875051759</v>
      </c>
      <c r="K44" s="6">
        <v>0.87255246220826255</v>
      </c>
      <c r="L44" s="6">
        <v>0.4849921933342789</v>
      </c>
      <c r="M44" s="6">
        <v>0.59855853232382072</v>
      </c>
      <c r="N44" s="6">
        <v>0.57368361546768287</v>
      </c>
      <c r="O44" s="6">
        <v>0.37302400816464121</v>
      </c>
      <c r="P44" s="6">
        <v>0.65200349471322516</v>
      </c>
      <c r="Q44" s="6">
        <f t="shared" si="2"/>
        <v>0.51691573632012888</v>
      </c>
      <c r="R44" s="6">
        <f t="shared" si="3"/>
        <v>43</v>
      </c>
    </row>
    <row r="45" spans="1:18" x14ac:dyDescent="0.2">
      <c r="A45" s="2" t="s">
        <v>106</v>
      </c>
      <c r="B45" s="2" t="s">
        <v>72</v>
      </c>
      <c r="C45" s="2" t="s">
        <v>100</v>
      </c>
      <c r="D45" s="2" t="s">
        <v>311</v>
      </c>
      <c r="E45" s="1">
        <v>0.74766860999999996</v>
      </c>
      <c r="F45" s="6">
        <v>0.54709732101538688</v>
      </c>
      <c r="G45" s="6">
        <v>0.42856663167374698</v>
      </c>
      <c r="H45" s="6">
        <v>0.52485907391429387</v>
      </c>
      <c r="I45" s="6">
        <v>0.54559805395842542</v>
      </c>
      <c r="J45" s="6">
        <v>0.35752787081151627</v>
      </c>
      <c r="K45" s="6">
        <v>0.66262526400934718</v>
      </c>
      <c r="L45" s="6">
        <v>0.3093949842868492</v>
      </c>
      <c r="M45" s="6">
        <v>0.60361386138613871</v>
      </c>
      <c r="N45" s="6">
        <v>0.56204790828689832</v>
      </c>
      <c r="O45" s="6">
        <v>0.47036998069966174</v>
      </c>
      <c r="P45" s="6">
        <v>0.52518804986407663</v>
      </c>
      <c r="Q45" s="6">
        <f t="shared" si="2"/>
        <v>0.51431877972515716</v>
      </c>
      <c r="R45" s="6">
        <f t="shared" si="3"/>
        <v>44</v>
      </c>
    </row>
    <row r="46" spans="1:18" x14ac:dyDescent="0.2">
      <c r="A46" s="2" t="s">
        <v>229</v>
      </c>
      <c r="B46" s="2" t="s">
        <v>75</v>
      </c>
      <c r="C46" s="2" t="s">
        <v>146</v>
      </c>
      <c r="D46" s="2" t="s">
        <v>311</v>
      </c>
      <c r="E46" s="1">
        <v>0.54001262000000005</v>
      </c>
      <c r="F46" s="6">
        <v>0.51678718504467114</v>
      </c>
      <c r="G46" s="6">
        <v>0.45550333825358136</v>
      </c>
      <c r="H46" s="6">
        <v>0.52170405522001728</v>
      </c>
      <c r="I46" s="6">
        <v>0.42315490617299556</v>
      </c>
      <c r="J46" s="6">
        <v>0.28248947801521035</v>
      </c>
      <c r="K46" s="6">
        <v>0.80249950310048668</v>
      </c>
      <c r="L46" s="6">
        <v>0.39079945244793374</v>
      </c>
      <c r="M46" s="6">
        <v>0.81543680838672106</v>
      </c>
      <c r="N46" s="6">
        <v>0.508501798886689</v>
      </c>
      <c r="O46" s="6">
        <v>0.3668887349098815</v>
      </c>
      <c r="P46" s="6">
        <v>0.66955026351783276</v>
      </c>
      <c r="Q46" s="6">
        <f t="shared" si="2"/>
        <v>0.50017111268530912</v>
      </c>
      <c r="R46" s="6">
        <f t="shared" si="3"/>
        <v>45</v>
      </c>
    </row>
    <row r="47" spans="1:18" x14ac:dyDescent="0.2">
      <c r="A47" s="2" t="s">
        <v>139</v>
      </c>
      <c r="B47" s="2" t="s">
        <v>116</v>
      </c>
      <c r="C47" s="2" t="s">
        <v>121</v>
      </c>
      <c r="D47" s="2" t="s">
        <v>311</v>
      </c>
      <c r="E47" s="1">
        <v>0.70310446999999998</v>
      </c>
      <c r="F47" s="6">
        <v>0.30749564269557011</v>
      </c>
      <c r="G47" s="6">
        <v>0.42891754540102911</v>
      </c>
      <c r="H47" s="6">
        <v>0.48715559390278973</v>
      </c>
      <c r="I47" s="6">
        <v>0.37946764179355952</v>
      </c>
      <c r="J47" s="6">
        <v>0.51933319705856151</v>
      </c>
      <c r="K47" s="6">
        <v>0.67626360298004817</v>
      </c>
      <c r="L47" s="6">
        <v>0.27663735610783491</v>
      </c>
      <c r="M47" s="6">
        <v>0.84578043098427491</v>
      </c>
      <c r="N47" s="6">
        <v>0.48166831280589428</v>
      </c>
      <c r="O47" s="6">
        <v>0.43541386389956033</v>
      </c>
      <c r="P47" s="6">
        <v>0.59953671718595603</v>
      </c>
      <c r="Q47" s="6">
        <f t="shared" si="2"/>
        <v>0.49852705455737922</v>
      </c>
      <c r="R47" s="6">
        <f t="shared" si="3"/>
        <v>46</v>
      </c>
    </row>
    <row r="48" spans="1:18" x14ac:dyDescent="0.2">
      <c r="A48" s="2" t="s">
        <v>232</v>
      </c>
      <c r="B48" s="2" t="s">
        <v>72</v>
      </c>
      <c r="C48" s="2" t="s">
        <v>100</v>
      </c>
      <c r="D48" s="2" t="s">
        <v>311</v>
      </c>
      <c r="E48" s="1">
        <v>0.71907719999999997</v>
      </c>
      <c r="F48" s="6">
        <v>0.52439388130591014</v>
      </c>
      <c r="G48" s="6">
        <v>0.49693124817366835</v>
      </c>
      <c r="H48" s="6">
        <v>0.5852286453839517</v>
      </c>
      <c r="I48" s="6">
        <v>0.45626997746467007</v>
      </c>
      <c r="J48" s="6">
        <v>0.35494389148335093</v>
      </c>
      <c r="K48" s="6">
        <v>0.65097587210135022</v>
      </c>
      <c r="L48" s="6">
        <v>0.34125944203202169</v>
      </c>
      <c r="M48" s="6">
        <v>0.58371287128712868</v>
      </c>
      <c r="N48" s="6">
        <v>0.5814077434072269</v>
      </c>
      <c r="O48" s="6">
        <v>0.41573954307214239</v>
      </c>
      <c r="P48" s="6">
        <v>0.52529303050866627</v>
      </c>
      <c r="Q48" s="6">
        <f t="shared" si="2"/>
        <v>0.49830604940362488</v>
      </c>
      <c r="R48" s="6">
        <f t="shared" si="3"/>
        <v>47</v>
      </c>
    </row>
    <row r="49" spans="1:18" x14ac:dyDescent="0.2">
      <c r="A49" s="2" t="s">
        <v>159</v>
      </c>
      <c r="B49" s="2" t="s">
        <v>116</v>
      </c>
      <c r="C49" s="2" t="s">
        <v>117</v>
      </c>
      <c r="D49" s="2" t="s">
        <v>311</v>
      </c>
      <c r="E49" s="1">
        <v>0.61524358999999995</v>
      </c>
      <c r="F49" s="6">
        <v>0.31657666395788464</v>
      </c>
      <c r="G49" s="6">
        <v>0.44080500793434019</v>
      </c>
      <c r="H49" s="6">
        <v>0.44899338510209952</v>
      </c>
      <c r="I49" s="6">
        <v>0.56803904509172087</v>
      </c>
      <c r="J49" s="6">
        <v>0.40641461075207952</v>
      </c>
      <c r="K49" s="6">
        <v>0.63537306094217405</v>
      </c>
      <c r="L49" s="6">
        <v>0.24271469601670737</v>
      </c>
      <c r="M49" s="6">
        <v>0.72211997670355266</v>
      </c>
      <c r="N49" s="6">
        <v>0.45540466218426107</v>
      </c>
      <c r="O49" s="6">
        <v>0.50338927135586431</v>
      </c>
      <c r="P49" s="6">
        <v>0.53338034902980103</v>
      </c>
      <c r="Q49" s="6">
        <f t="shared" si="2"/>
        <v>0.49799121190656437</v>
      </c>
      <c r="R49" s="6">
        <f t="shared" si="3"/>
        <v>48</v>
      </c>
    </row>
    <row r="50" spans="1:18" x14ac:dyDescent="0.2">
      <c r="A50" s="2" t="s">
        <v>245</v>
      </c>
      <c r="B50" s="2" t="s">
        <v>72</v>
      </c>
      <c r="C50" s="2" t="s">
        <v>100</v>
      </c>
      <c r="D50" s="2" t="s">
        <v>309</v>
      </c>
      <c r="E50" s="1">
        <v>0.81303596</v>
      </c>
      <c r="F50" s="6">
        <v>0.60273153312228755</v>
      </c>
      <c r="G50" s="6">
        <v>0.63769062719242853</v>
      </c>
      <c r="H50" s="6">
        <v>0.6555076215127984</v>
      </c>
      <c r="I50" s="6">
        <v>0.49243922569027609</v>
      </c>
      <c r="J50" s="6">
        <v>9.2731696813092165E-2</v>
      </c>
      <c r="K50" s="6">
        <v>0.88184947181486972</v>
      </c>
      <c r="L50" s="6">
        <v>0.26934100398107669</v>
      </c>
      <c r="M50" s="6">
        <v>0.45544554455445546</v>
      </c>
      <c r="N50" s="6">
        <v>0.67724143454543584</v>
      </c>
      <c r="O50" s="6">
        <v>0.33255621413940251</v>
      </c>
      <c r="P50" s="6">
        <v>0.53551489551587861</v>
      </c>
      <c r="Q50" s="6">
        <f t="shared" si="2"/>
        <v>0.49684938467415535</v>
      </c>
      <c r="R50" s="6">
        <f t="shared" si="3"/>
        <v>49</v>
      </c>
    </row>
    <row r="51" spans="1:18" x14ac:dyDescent="0.2">
      <c r="A51" s="2" t="s">
        <v>144</v>
      </c>
      <c r="B51" s="2" t="s">
        <v>116</v>
      </c>
      <c r="C51" s="2" t="s">
        <v>121</v>
      </c>
      <c r="D51" s="2" t="s">
        <v>311</v>
      </c>
      <c r="E51" s="1">
        <v>0.68474338000000001</v>
      </c>
      <c r="F51" s="6">
        <v>0.45566961210067347</v>
      </c>
      <c r="G51" s="6">
        <v>0.45571559477988433</v>
      </c>
      <c r="H51" s="6">
        <v>0.43747052056370428</v>
      </c>
      <c r="I51" s="6">
        <v>0.59010137528695683</v>
      </c>
      <c r="J51" s="6">
        <v>0.23192708251437433</v>
      </c>
      <c r="K51" s="6">
        <v>0.65267592104233885</v>
      </c>
      <c r="L51" s="6">
        <v>0.27753167347701374</v>
      </c>
      <c r="M51" s="6">
        <v>0.67869539895165987</v>
      </c>
      <c r="N51" s="6">
        <v>0.50839977645142376</v>
      </c>
      <c r="O51" s="6">
        <v>0.44683165817792381</v>
      </c>
      <c r="P51" s="6">
        <v>0.53627809062225817</v>
      </c>
      <c r="Q51" s="6">
        <f t="shared" si="2"/>
        <v>0.49213602339327411</v>
      </c>
      <c r="R51" s="6">
        <f t="shared" si="3"/>
        <v>50</v>
      </c>
    </row>
    <row r="52" spans="1:18" x14ac:dyDescent="0.2">
      <c r="A52" s="2" t="s">
        <v>109</v>
      </c>
      <c r="B52" s="2" t="s">
        <v>110</v>
      </c>
      <c r="C52" s="2" t="s">
        <v>111</v>
      </c>
      <c r="D52" s="2" t="s">
        <v>311</v>
      </c>
      <c r="E52" s="1">
        <v>0.42541961</v>
      </c>
      <c r="F52" s="6">
        <v>0.61173751926115139</v>
      </c>
      <c r="G52" s="6">
        <v>0.19314564293193953</v>
      </c>
      <c r="H52" s="6">
        <v>0.34587431693989074</v>
      </c>
      <c r="I52" s="6">
        <v>0.77037388850276955</v>
      </c>
      <c r="J52" s="6">
        <v>0.26709383566310779</v>
      </c>
      <c r="K52" s="6">
        <v>0.64373733607024453</v>
      </c>
      <c r="L52" s="6">
        <v>0.30366238777784771</v>
      </c>
      <c r="M52" s="6">
        <v>0.5026179382644147</v>
      </c>
      <c r="N52" s="6">
        <v>0.39404427183892932</v>
      </c>
      <c r="O52" s="6">
        <v>0.56906186736690478</v>
      </c>
      <c r="P52" s="6">
        <v>0.48331658304569469</v>
      </c>
      <c r="Q52" s="6">
        <f t="shared" si="2"/>
        <v>0.49083300341214908</v>
      </c>
      <c r="R52" s="6">
        <f t="shared" si="3"/>
        <v>51</v>
      </c>
    </row>
    <row r="53" spans="1:18" x14ac:dyDescent="0.2">
      <c r="A53" s="2" t="s">
        <v>147</v>
      </c>
      <c r="B53" s="2" t="s">
        <v>110</v>
      </c>
      <c r="C53" s="2" t="s">
        <v>111</v>
      </c>
      <c r="D53" s="2" t="s">
        <v>311</v>
      </c>
      <c r="E53" s="1">
        <v>0.51169911000000001</v>
      </c>
      <c r="F53" s="6">
        <v>0.55403506284192039</v>
      </c>
      <c r="G53" s="6">
        <v>0.16257640219545902</v>
      </c>
      <c r="H53" s="6">
        <v>0.34034081104400349</v>
      </c>
      <c r="I53" s="6">
        <v>0.78324299614582671</v>
      </c>
      <c r="J53" s="6">
        <v>0.2412058220775613</v>
      </c>
      <c r="K53" s="6">
        <v>0.55104310354720121</v>
      </c>
      <c r="L53" s="6">
        <v>0.26166449739607606</v>
      </c>
      <c r="M53" s="6">
        <v>0.5659027373325568</v>
      </c>
      <c r="N53" s="6">
        <v>0.39216284709332616</v>
      </c>
      <c r="O53" s="6">
        <v>0.56642812651852048</v>
      </c>
      <c r="P53" s="6">
        <v>0.45951735047258935</v>
      </c>
      <c r="Q53" s="6">
        <f t="shared" si="2"/>
        <v>0.48207530987718283</v>
      </c>
      <c r="R53" s="6">
        <f t="shared" si="3"/>
        <v>52</v>
      </c>
    </row>
    <row r="54" spans="1:18" x14ac:dyDescent="0.2">
      <c r="A54" s="2" t="s">
        <v>178</v>
      </c>
      <c r="B54" s="2" t="s">
        <v>116</v>
      </c>
      <c r="C54" s="2" t="s">
        <v>117</v>
      </c>
      <c r="D54" s="2" t="s">
        <v>311</v>
      </c>
      <c r="E54" s="1">
        <v>0.69012499000000005</v>
      </c>
      <c r="F54" s="6">
        <v>0.31991195071997425</v>
      </c>
      <c r="G54" s="6">
        <v>0.41838644184994167</v>
      </c>
      <c r="H54" s="6">
        <v>0.44360511935576646</v>
      </c>
      <c r="I54" s="6">
        <v>0.56822918851751225</v>
      </c>
      <c r="J54" s="6">
        <v>0.33817003946727053</v>
      </c>
      <c r="K54" s="6">
        <v>0.47764221991138767</v>
      </c>
      <c r="L54" s="6">
        <v>0.26412847156921543</v>
      </c>
      <c r="M54" s="6">
        <v>0.71361094933022717</v>
      </c>
      <c r="N54" s="6">
        <v>0.4680071257965277</v>
      </c>
      <c r="O54" s="6">
        <v>0.47620552889741558</v>
      </c>
      <c r="P54" s="6">
        <v>0.48511017389772471</v>
      </c>
      <c r="Q54" s="6">
        <f t="shared" si="2"/>
        <v>0.47641740146724199</v>
      </c>
      <c r="R54" s="6">
        <f t="shared" si="3"/>
        <v>53</v>
      </c>
    </row>
    <row r="55" spans="1:18" x14ac:dyDescent="0.2">
      <c r="A55" s="2" t="s">
        <v>208</v>
      </c>
      <c r="B55" s="2" t="s">
        <v>310</v>
      </c>
      <c r="C55" s="2" t="s">
        <v>100</v>
      </c>
      <c r="D55" s="2" t="s">
        <v>311</v>
      </c>
      <c r="E55" s="1">
        <v>0.67384750000000004</v>
      </c>
      <c r="F55" s="6">
        <v>0.54245139748670346</v>
      </c>
      <c r="G55" s="6">
        <v>0.37010265268031295</v>
      </c>
      <c r="H55" s="6">
        <v>0.59911130284728209</v>
      </c>
      <c r="I55" s="6">
        <v>0.5270721004191149</v>
      </c>
      <c r="J55" s="6">
        <v>0.249807380851298</v>
      </c>
      <c r="K55" s="6">
        <v>0.6360017691287041</v>
      </c>
      <c r="L55" s="6">
        <v>0.20864173292545152</v>
      </c>
      <c r="M55" s="6">
        <v>0.61246942341292954</v>
      </c>
      <c r="N55" s="6">
        <v>0.54637821385475427</v>
      </c>
      <c r="O55" s="6">
        <v>0.41616621259198816</v>
      </c>
      <c r="P55" s="6">
        <v>0.48568220880113988</v>
      </c>
      <c r="Q55" s="6">
        <f t="shared" si="2"/>
        <v>0.47608461183356354</v>
      </c>
      <c r="R55" s="6">
        <f t="shared" si="3"/>
        <v>54</v>
      </c>
    </row>
    <row r="56" spans="1:18" x14ac:dyDescent="0.2">
      <c r="A56" s="2" t="s">
        <v>127</v>
      </c>
      <c r="B56" s="2" t="s">
        <v>110</v>
      </c>
      <c r="C56" s="2" t="s">
        <v>111</v>
      </c>
      <c r="D56" s="9" t="s">
        <v>311</v>
      </c>
      <c r="E56" s="1">
        <v>0.36721927999999998</v>
      </c>
      <c r="F56" s="1">
        <v>0.5236445176399227</v>
      </c>
      <c r="G56" s="1">
        <v>9.5830844757892122E-2</v>
      </c>
      <c r="H56" s="1">
        <v>0.36039401783146391</v>
      </c>
      <c r="I56" s="1">
        <v>0.81637022387902536</v>
      </c>
      <c r="J56" s="1">
        <v>0.30124534176140383</v>
      </c>
      <c r="K56" s="1">
        <v>0.56017689184689745</v>
      </c>
      <c r="L56" s="1">
        <v>0.20540150728834711</v>
      </c>
      <c r="M56" s="1">
        <v>0.53050669772859638</v>
      </c>
      <c r="N56" s="6">
        <v>0.33677216513999891</v>
      </c>
      <c r="O56" s="6">
        <v>0.61032027103197672</v>
      </c>
      <c r="P56" s="6">
        <v>0.43200883155096192</v>
      </c>
      <c r="Q56" s="6">
        <f t="shared" si="2"/>
        <v>0.47476240742007891</v>
      </c>
      <c r="R56" s="6">
        <f t="shared" si="3"/>
        <v>55</v>
      </c>
    </row>
    <row r="57" spans="1:18" x14ac:dyDescent="0.2">
      <c r="A57" s="2" t="s">
        <v>241</v>
      </c>
      <c r="B57" s="2" t="s">
        <v>72</v>
      </c>
      <c r="C57" s="2" t="s">
        <v>100</v>
      </c>
      <c r="D57" s="2" t="s">
        <v>309</v>
      </c>
      <c r="E57" s="1">
        <v>0.74494088999999997</v>
      </c>
      <c r="F57" s="6">
        <v>0.59872051644485791</v>
      </c>
      <c r="G57" s="6">
        <v>0.56130003817955998</v>
      </c>
      <c r="H57" s="6">
        <v>0.64603393730227199</v>
      </c>
      <c r="I57" s="6">
        <v>0.46197629051620653</v>
      </c>
      <c r="J57" s="6">
        <v>6.3145994832041349E-2</v>
      </c>
      <c r="K57" s="6">
        <v>0.84857472400724998</v>
      </c>
      <c r="L57" s="6">
        <v>0.26686285984341712</v>
      </c>
      <c r="M57" s="6">
        <v>0.48514851485148514</v>
      </c>
      <c r="N57" s="6">
        <v>0.63774884467188941</v>
      </c>
      <c r="O57" s="6">
        <v>0.30244417224254044</v>
      </c>
      <c r="P57" s="6">
        <v>0.5334993624842127</v>
      </c>
      <c r="Q57" s="6">
        <f t="shared" si="2"/>
        <v>0.47235213104384682</v>
      </c>
      <c r="R57" s="6">
        <f t="shared" si="3"/>
        <v>56</v>
      </c>
    </row>
    <row r="58" spans="1:18" x14ac:dyDescent="0.2">
      <c r="A58" s="2" t="s">
        <v>167</v>
      </c>
      <c r="B58" s="2" t="s">
        <v>75</v>
      </c>
      <c r="C58" s="2" t="s">
        <v>96</v>
      </c>
      <c r="D58" s="9" t="s">
        <v>311</v>
      </c>
      <c r="E58" s="1">
        <v>0.62858066999999995</v>
      </c>
      <c r="F58" s="1">
        <v>0.50975606938696838</v>
      </c>
      <c r="G58" s="1">
        <v>0.3586419535618367</v>
      </c>
      <c r="H58" s="1">
        <v>0.35780270348001153</v>
      </c>
      <c r="I58" s="1">
        <v>0.5806777026600114</v>
      </c>
      <c r="J58" s="1">
        <v>0.41196230430156555</v>
      </c>
      <c r="K58" s="1">
        <v>0.63393281007558921</v>
      </c>
      <c r="L58" s="1">
        <v>0.14264189764920093</v>
      </c>
      <c r="M58" s="1">
        <v>0.4960425160163075</v>
      </c>
      <c r="N58" s="6">
        <v>0.46369534852868677</v>
      </c>
      <c r="O58" s="6">
        <v>0.51319154331663308</v>
      </c>
      <c r="P58" s="6">
        <v>0.42418396933286584</v>
      </c>
      <c r="Q58" s="6">
        <f t="shared" si="2"/>
        <v>0.47164041268511903</v>
      </c>
      <c r="R58" s="6">
        <f t="shared" si="3"/>
        <v>57</v>
      </c>
    </row>
    <row r="59" spans="1:18" x14ac:dyDescent="0.2">
      <c r="A59" s="2" t="s">
        <v>163</v>
      </c>
      <c r="B59" s="2" t="s">
        <v>110</v>
      </c>
      <c r="C59" s="2" t="s">
        <v>111</v>
      </c>
      <c r="D59" s="9" t="s">
        <v>311</v>
      </c>
      <c r="E59" s="1">
        <v>0.37909675999999998</v>
      </c>
      <c r="F59" s="1">
        <v>0.46189724153454126</v>
      </c>
      <c r="G59" s="1">
        <v>0.13890145140028279</v>
      </c>
      <c r="H59" s="1">
        <v>0.29536813344837498</v>
      </c>
      <c r="I59" s="1">
        <v>0.76771011983740856</v>
      </c>
      <c r="J59" s="1">
        <v>0.26928104575163403</v>
      </c>
      <c r="K59" s="1">
        <v>0.49784397731948271</v>
      </c>
      <c r="L59" s="1">
        <v>0.24705457274021819</v>
      </c>
      <c r="M59" s="1">
        <v>0.70779848573092607</v>
      </c>
      <c r="N59" s="6">
        <v>0.31881589672061539</v>
      </c>
      <c r="O59" s="6">
        <v>0.56833849020309868</v>
      </c>
      <c r="P59" s="6">
        <v>0.48421469101622727</v>
      </c>
      <c r="Q59" s="6">
        <f t="shared" si="2"/>
        <v>0.46824457240229228</v>
      </c>
      <c r="R59" s="6">
        <f t="shared" si="3"/>
        <v>58</v>
      </c>
    </row>
    <row r="60" spans="1:18" x14ac:dyDescent="0.2">
      <c r="A60" s="2" t="s">
        <v>102</v>
      </c>
      <c r="B60" s="2" t="s">
        <v>72</v>
      </c>
      <c r="C60" s="2" t="s">
        <v>73</v>
      </c>
      <c r="D60" s="9" t="s">
        <v>309</v>
      </c>
      <c r="E60" s="1">
        <v>0.82509756999999995</v>
      </c>
      <c r="F60" s="1">
        <v>0.75228695595888073</v>
      </c>
      <c r="G60" s="1">
        <v>0.50883717744216983</v>
      </c>
      <c r="H60" s="1">
        <v>0.74655162496404937</v>
      </c>
      <c r="I60" s="1">
        <v>0.50997786614645857</v>
      </c>
      <c r="J60" s="1">
        <v>4.6071920757967275E-2</v>
      </c>
      <c r="K60" s="1"/>
      <c r="L60" s="1">
        <v>0.63039592961666935</v>
      </c>
      <c r="M60" s="1">
        <v>0.62871287128712872</v>
      </c>
      <c r="N60" s="6">
        <v>0.7081933312946862</v>
      </c>
      <c r="O60" s="6">
        <v>0.32441548799106201</v>
      </c>
      <c r="P60" s="6">
        <v>0.41970062274387687</v>
      </c>
      <c r="Q60" s="6">
        <f t="shared" si="2"/>
        <v>0.46813438140799368</v>
      </c>
      <c r="R60" s="6">
        <f t="shared" si="3"/>
        <v>59</v>
      </c>
    </row>
    <row r="61" spans="1:18" x14ac:dyDescent="0.2">
      <c r="A61" s="2" t="s">
        <v>113</v>
      </c>
      <c r="B61" s="2" t="s">
        <v>114</v>
      </c>
      <c r="C61" s="2" t="s">
        <v>114</v>
      </c>
      <c r="D61" s="2" t="s">
        <v>309</v>
      </c>
      <c r="E61" s="1">
        <v>0.72101610000000005</v>
      </c>
      <c r="F61" s="6">
        <v>0.33455133371663509</v>
      </c>
      <c r="G61" s="6">
        <v>0.53182409280488696</v>
      </c>
      <c r="H61" s="6">
        <v>0.59755967788323261</v>
      </c>
      <c r="I61" s="6">
        <v>0.28292896527031863</v>
      </c>
      <c r="J61" s="6">
        <v>0.34604462474645031</v>
      </c>
      <c r="K61" s="6">
        <v>0.82254959337457978</v>
      </c>
      <c r="L61" s="6">
        <v>0.40044405624235502</v>
      </c>
      <c r="M61" s="6">
        <v>0.56845078625509604</v>
      </c>
      <c r="N61" s="6">
        <v>0.54623779997822197</v>
      </c>
      <c r="O61" s="6">
        <v>0.30817522906077133</v>
      </c>
      <c r="P61" s="6">
        <v>0.59711920267378149</v>
      </c>
      <c r="Q61" s="6">
        <f t="shared" si="2"/>
        <v>0.46627719241990956</v>
      </c>
      <c r="R61" s="6">
        <f t="shared" si="3"/>
        <v>60</v>
      </c>
    </row>
    <row r="62" spans="1:18" x14ac:dyDescent="0.2">
      <c r="A62" s="2" t="s">
        <v>155</v>
      </c>
      <c r="B62" s="2" t="s">
        <v>116</v>
      </c>
      <c r="C62" s="2" t="s">
        <v>121</v>
      </c>
      <c r="D62" s="2" t="s">
        <v>311</v>
      </c>
      <c r="E62" s="1">
        <v>0.64021174999999997</v>
      </c>
      <c r="F62" s="6">
        <v>0.44206169266018769</v>
      </c>
      <c r="G62" s="6">
        <v>0.251024658672792</v>
      </c>
      <c r="H62" s="6">
        <v>0.35264595916019559</v>
      </c>
      <c r="I62" s="6">
        <v>0.68910533897769644</v>
      </c>
      <c r="J62" s="6">
        <v>0.22538091419406572</v>
      </c>
      <c r="K62" s="6">
        <v>0.50753140234109095</v>
      </c>
      <c r="L62" s="6">
        <v>0.23031993617445864</v>
      </c>
      <c r="M62" s="6">
        <v>0.64171228887594656</v>
      </c>
      <c r="N62" s="6">
        <v>0.4214860158863295</v>
      </c>
      <c r="O62" s="6">
        <v>0.5036155690642441</v>
      </c>
      <c r="P62" s="6">
        <v>0.45983664311320382</v>
      </c>
      <c r="Q62" s="6">
        <f t="shared" si="2"/>
        <v>0.46584302532555766</v>
      </c>
      <c r="R62" s="6">
        <f t="shared" si="3"/>
        <v>61</v>
      </c>
    </row>
    <row r="63" spans="1:18" x14ac:dyDescent="0.2">
      <c r="A63" s="2" t="s">
        <v>148</v>
      </c>
      <c r="B63" s="2" t="s">
        <v>110</v>
      </c>
      <c r="C63" s="2" t="s">
        <v>111</v>
      </c>
      <c r="D63" s="2" t="s">
        <v>311</v>
      </c>
      <c r="E63" s="1">
        <v>0.63927599999999996</v>
      </c>
      <c r="F63" s="6">
        <v>0.45544632939438878</v>
      </c>
      <c r="G63" s="6">
        <v>0.24659994219868336</v>
      </c>
      <c r="H63" s="6">
        <v>0.4875582398619499</v>
      </c>
      <c r="I63" s="6">
        <v>0.44501011351909192</v>
      </c>
      <c r="J63" s="6">
        <v>0.27471264367816095</v>
      </c>
      <c r="K63" s="6">
        <v>0.55569296173921923</v>
      </c>
      <c r="L63" s="6">
        <v>0.38072553489043615</v>
      </c>
      <c r="M63" s="6">
        <v>0.8389341875364007</v>
      </c>
      <c r="N63" s="6">
        <v>0.4572201279310204</v>
      </c>
      <c r="O63" s="6">
        <v>0.37689112558271953</v>
      </c>
      <c r="P63" s="6">
        <v>0.59176415622678191</v>
      </c>
      <c r="Q63" s="6">
        <f t="shared" si="2"/>
        <v>0.46545173548042845</v>
      </c>
      <c r="R63" s="6">
        <f t="shared" si="3"/>
        <v>62</v>
      </c>
    </row>
    <row r="64" spans="1:18" x14ac:dyDescent="0.2">
      <c r="A64" s="2" t="s">
        <v>107</v>
      </c>
      <c r="B64" s="2" t="s">
        <v>108</v>
      </c>
      <c r="C64" s="2" t="s">
        <v>108</v>
      </c>
      <c r="D64" s="9" t="s">
        <v>311</v>
      </c>
      <c r="E64" s="1">
        <v>0.35551938999999999</v>
      </c>
      <c r="F64" s="1">
        <v>0.71286281639330462</v>
      </c>
      <c r="G64" s="1">
        <v>0.19507000448898157</v>
      </c>
      <c r="H64" s="1">
        <v>0.39028329019269481</v>
      </c>
      <c r="I64" s="1">
        <v>0.66884574250752937</v>
      </c>
      <c r="J64" s="1">
        <v>0.35813953488372091</v>
      </c>
      <c r="K64" s="1">
        <v>0.53635833668614585</v>
      </c>
      <c r="L64" s="1">
        <v>0.14812095957424479</v>
      </c>
      <c r="M64" s="1">
        <v>0.51915841584158418</v>
      </c>
      <c r="N64" s="6">
        <v>0.41343387574090262</v>
      </c>
      <c r="O64" s="6">
        <v>0.54456325945800599</v>
      </c>
      <c r="P64" s="6">
        <v>0.40119402530009818</v>
      </c>
      <c r="Q64" s="6">
        <f t="shared" si="2"/>
        <v>0.46221367409550268</v>
      </c>
      <c r="R64" s="6">
        <f t="shared" si="3"/>
        <v>63</v>
      </c>
    </row>
    <row r="65" spans="1:18" x14ac:dyDescent="0.2">
      <c r="A65" s="2" t="s">
        <v>291</v>
      </c>
      <c r="B65" s="2" t="s">
        <v>75</v>
      </c>
      <c r="C65" s="2" t="s">
        <v>146</v>
      </c>
      <c r="D65" s="9" t="s">
        <v>311</v>
      </c>
      <c r="E65" s="1">
        <v>0.59201393000000002</v>
      </c>
      <c r="F65" s="1">
        <v>0.50959481691715569</v>
      </c>
      <c r="G65" s="1">
        <v>0.24187494555887298</v>
      </c>
      <c r="H65" s="1">
        <v>0.28300977854472248</v>
      </c>
      <c r="I65" s="1">
        <v>0.397748983804048</v>
      </c>
      <c r="J65" s="1">
        <v>0.42449329370882266</v>
      </c>
      <c r="K65" s="1">
        <v>0.62778104956214587</v>
      </c>
      <c r="L65" s="1">
        <v>0.3763889657097409</v>
      </c>
      <c r="M65" s="1">
        <v>0.76163366336633676</v>
      </c>
      <c r="N65" s="6">
        <v>0.40662336857029646</v>
      </c>
      <c r="O65" s="6">
        <v>0.40844670776595787</v>
      </c>
      <c r="P65" s="6">
        <v>0.58857879166998228</v>
      </c>
      <c r="Q65" s="6">
        <f t="shared" si="2"/>
        <v>0.46193933117846675</v>
      </c>
      <c r="R65" s="6">
        <f t="shared" si="3"/>
        <v>64</v>
      </c>
    </row>
    <row r="66" spans="1:18" x14ac:dyDescent="0.2">
      <c r="A66" s="2" t="s">
        <v>151</v>
      </c>
      <c r="B66" s="2" t="s">
        <v>116</v>
      </c>
      <c r="C66" s="2" t="s">
        <v>117</v>
      </c>
      <c r="D66" s="2" t="s">
        <v>311</v>
      </c>
      <c r="E66" s="1">
        <v>0.68769464000000002</v>
      </c>
      <c r="F66" s="6">
        <v>0.49493711767372112</v>
      </c>
      <c r="G66" s="6">
        <v>0.5417966054327652</v>
      </c>
      <c r="H66" s="6">
        <v>0.45931837791199309</v>
      </c>
      <c r="I66" s="6">
        <v>0.41716876434784433</v>
      </c>
      <c r="J66" s="6">
        <v>0.3337943089558732</v>
      </c>
      <c r="K66" s="6">
        <v>0.42892059409997862</v>
      </c>
      <c r="L66" s="6">
        <v>0.28350542815669949</v>
      </c>
      <c r="M66" s="6">
        <v>0.70568433313919621</v>
      </c>
      <c r="N66" s="6">
        <v>0.54593668477943602</v>
      </c>
      <c r="O66" s="6">
        <v>0.38381898219105592</v>
      </c>
      <c r="P66" s="6">
        <v>0.47268797419928321</v>
      </c>
      <c r="Q66" s="6">
        <f t="shared" ref="Q66:Q97" si="4">(0.3*N66)+ (0.4*O66)+(0.3*P66)</f>
        <v>0.45911499057003813</v>
      </c>
      <c r="R66" s="6">
        <f t="shared" ref="R66:R97" si="5">RANK(Q66,$Q$2:$Q$187,0)</f>
        <v>65</v>
      </c>
    </row>
    <row r="67" spans="1:18" x14ac:dyDescent="0.2">
      <c r="A67" s="2" t="s">
        <v>138</v>
      </c>
      <c r="B67" s="2" t="s">
        <v>116</v>
      </c>
      <c r="C67" s="2" t="s">
        <v>136</v>
      </c>
      <c r="D67" s="2" t="s">
        <v>311</v>
      </c>
      <c r="E67" s="1">
        <v>0.66908294999999995</v>
      </c>
      <c r="F67" s="6">
        <v>0.61652257515087461</v>
      </c>
      <c r="G67" s="6">
        <v>0.48674277329962373</v>
      </c>
      <c r="H67" s="6">
        <v>0.67856341673856779</v>
      </c>
      <c r="I67" s="6">
        <v>0.36449869421452791</v>
      </c>
      <c r="J67" s="6">
        <v>0.22066711742168132</v>
      </c>
      <c r="K67" s="6">
        <v>0.55089320589229529</v>
      </c>
      <c r="L67" s="6">
        <v>0.33361826010971435</v>
      </c>
      <c r="M67" s="6">
        <v>0.62887012230634831</v>
      </c>
      <c r="N67" s="6">
        <v>0.61272792859149361</v>
      </c>
      <c r="O67" s="6">
        <v>0.30696606349738931</v>
      </c>
      <c r="P67" s="6">
        <v>0.50444084464501504</v>
      </c>
      <c r="Q67" s="6">
        <f t="shared" si="4"/>
        <v>0.45793705736990831</v>
      </c>
      <c r="R67" s="6">
        <f t="shared" si="5"/>
        <v>66</v>
      </c>
    </row>
    <row r="68" spans="1:18" x14ac:dyDescent="0.2">
      <c r="A68" s="2" t="s">
        <v>228</v>
      </c>
      <c r="B68" s="2" t="s">
        <v>75</v>
      </c>
      <c r="C68" s="2" t="s">
        <v>146</v>
      </c>
      <c r="D68" s="2" t="s">
        <v>311</v>
      </c>
      <c r="E68" s="1">
        <v>0.51436535999999999</v>
      </c>
      <c r="F68" s="6">
        <v>0.41154294758423626</v>
      </c>
      <c r="G68" s="6">
        <v>0.27423362655867956</v>
      </c>
      <c r="H68" s="6">
        <v>0.37789905090595344</v>
      </c>
      <c r="I68" s="6">
        <v>0.39538027210884352</v>
      </c>
      <c r="J68" s="6">
        <v>0.44158136390081287</v>
      </c>
      <c r="K68" s="6">
        <v>0.64063020085602496</v>
      </c>
      <c r="L68" s="6">
        <v>0.26016691243871959</v>
      </c>
      <c r="M68" s="6">
        <v>0.8325655212580082</v>
      </c>
      <c r="N68" s="6">
        <v>0.39451024507143329</v>
      </c>
      <c r="O68" s="6">
        <v>0.41386070882563125</v>
      </c>
      <c r="P68" s="6">
        <v>0.57776504576600707</v>
      </c>
      <c r="Q68" s="6">
        <f t="shared" si="4"/>
        <v>0.45722687078148461</v>
      </c>
      <c r="R68" s="6">
        <f t="shared" si="5"/>
        <v>67</v>
      </c>
    </row>
    <row r="69" spans="1:18" x14ac:dyDescent="0.2">
      <c r="A69" s="2" t="s">
        <v>203</v>
      </c>
      <c r="B69" s="2" t="s">
        <v>310</v>
      </c>
      <c r="C69" s="2" t="s">
        <v>119</v>
      </c>
      <c r="D69" s="2" t="s">
        <v>311</v>
      </c>
      <c r="E69" s="1">
        <v>0.53949378999999997</v>
      </c>
      <c r="F69" s="6">
        <v>0.15524675783987985</v>
      </c>
      <c r="G69" s="6">
        <v>0.51745390812648628</v>
      </c>
      <c r="H69" s="6">
        <v>0.51910698878343398</v>
      </c>
      <c r="I69" s="6">
        <v>0.42444409974516117</v>
      </c>
      <c r="J69" s="6">
        <v>0.38083845674062194</v>
      </c>
      <c r="K69" s="6">
        <v>0.58451318607938529</v>
      </c>
      <c r="L69" s="6">
        <v>0.23258556436838135</v>
      </c>
      <c r="M69" s="6">
        <v>0.79208211997670364</v>
      </c>
      <c r="N69" s="6">
        <v>0.43282536173065356</v>
      </c>
      <c r="O69" s="6">
        <v>0.40700184254334548</v>
      </c>
      <c r="P69" s="6">
        <v>0.53637310038936625</v>
      </c>
      <c r="Q69" s="6">
        <f t="shared" si="4"/>
        <v>0.45356027565334417</v>
      </c>
      <c r="R69" s="6">
        <f t="shared" si="5"/>
        <v>68</v>
      </c>
    </row>
    <row r="70" spans="1:18" x14ac:dyDescent="0.2">
      <c r="A70" s="2" t="s">
        <v>183</v>
      </c>
      <c r="B70" s="2" t="s">
        <v>114</v>
      </c>
      <c r="C70" s="2" t="s">
        <v>184</v>
      </c>
      <c r="D70" s="9" t="s">
        <v>311</v>
      </c>
      <c r="E70" s="1">
        <v>0.42076585</v>
      </c>
      <c r="F70" s="1">
        <v>0.50198001855345331</v>
      </c>
      <c r="G70" s="1">
        <v>0.26107515035956996</v>
      </c>
      <c r="H70" s="1">
        <v>0.44860368133448369</v>
      </c>
      <c r="I70" s="1">
        <v>0.38442526484277922</v>
      </c>
      <c r="J70" s="1">
        <v>0.46709750459927357</v>
      </c>
      <c r="K70" s="1">
        <v>0.63467758557906073</v>
      </c>
      <c r="L70" s="1">
        <v>0.19751139889854774</v>
      </c>
      <c r="M70" s="1">
        <v>0.79249854397204433</v>
      </c>
      <c r="N70" s="6">
        <v>0.40810617591371146</v>
      </c>
      <c r="O70" s="6">
        <v>0.41749416074537693</v>
      </c>
      <c r="P70" s="6">
        <v>0.54154043102618732</v>
      </c>
      <c r="Q70" s="6">
        <f t="shared" si="4"/>
        <v>0.45189164638012042</v>
      </c>
      <c r="R70" s="6">
        <f t="shared" si="5"/>
        <v>69</v>
      </c>
    </row>
    <row r="71" spans="1:18" x14ac:dyDescent="0.2">
      <c r="A71" s="2" t="s">
        <v>141</v>
      </c>
      <c r="B71" s="2" t="s">
        <v>110</v>
      </c>
      <c r="C71" s="2" t="s">
        <v>124</v>
      </c>
      <c r="D71" s="2" t="s">
        <v>311</v>
      </c>
      <c r="E71" s="1">
        <v>0.56233376999999996</v>
      </c>
      <c r="F71" s="6">
        <v>0.71550715078044069</v>
      </c>
      <c r="G71" s="6">
        <v>0.42580705471240948</v>
      </c>
      <c r="H71" s="6">
        <v>0.38300690250215708</v>
      </c>
      <c r="I71" s="6">
        <v>0.50166573787409696</v>
      </c>
      <c r="J71" s="6">
        <v>0.25661823670927875</v>
      </c>
      <c r="K71" s="6">
        <v>0.54767998953029007</v>
      </c>
      <c r="L71" s="6">
        <v>0.3150559672874238</v>
      </c>
      <c r="M71" s="6">
        <v>0.46517181129877694</v>
      </c>
      <c r="N71" s="6">
        <v>0.52166371869868811</v>
      </c>
      <c r="O71" s="6">
        <v>0.4036467374081697</v>
      </c>
      <c r="P71" s="6">
        <v>0.44261646146201783</v>
      </c>
      <c r="Q71" s="6">
        <f t="shared" si="4"/>
        <v>0.45074274901147965</v>
      </c>
      <c r="R71" s="6">
        <f t="shared" si="5"/>
        <v>70</v>
      </c>
    </row>
    <row r="72" spans="1:18" x14ac:dyDescent="0.2">
      <c r="A72" s="2" t="s">
        <v>260</v>
      </c>
      <c r="B72" s="2" t="s">
        <v>310</v>
      </c>
      <c r="C72" s="2" t="s">
        <v>100</v>
      </c>
      <c r="D72" s="2" t="s">
        <v>311</v>
      </c>
      <c r="E72" s="1">
        <v>0.64374500000000001</v>
      </c>
      <c r="F72" s="6">
        <v>0.4858802135239606</v>
      </c>
      <c r="G72" s="6">
        <v>0.2914509674620146</v>
      </c>
      <c r="H72" s="6">
        <v>0.49847713546160483</v>
      </c>
      <c r="I72" s="6">
        <v>0.47751195636149196</v>
      </c>
      <c r="J72" s="6">
        <v>0.3108126169473403</v>
      </c>
      <c r="K72" s="6">
        <v>0.61181460168894153</v>
      </c>
      <c r="L72" s="6">
        <v>0.23784747933281147</v>
      </c>
      <c r="M72" s="6">
        <v>0.53365171811298784</v>
      </c>
      <c r="N72" s="6">
        <v>0.47988832955729654</v>
      </c>
      <c r="O72" s="6">
        <v>0.4108322205958313</v>
      </c>
      <c r="P72" s="6">
        <v>0.46108323518268685</v>
      </c>
      <c r="Q72" s="6">
        <f t="shared" si="4"/>
        <v>0.4466243576603276</v>
      </c>
      <c r="R72" s="6">
        <f t="shared" si="5"/>
        <v>71</v>
      </c>
    </row>
    <row r="73" spans="1:18" x14ac:dyDescent="0.2">
      <c r="A73" s="2" t="s">
        <v>289</v>
      </c>
      <c r="B73" s="2" t="s">
        <v>310</v>
      </c>
      <c r="C73" s="2" t="s">
        <v>100</v>
      </c>
      <c r="D73" s="2" t="s">
        <v>311</v>
      </c>
      <c r="E73" s="1">
        <v>0.72187981999999995</v>
      </c>
      <c r="F73" s="6">
        <v>0.52796819767913084</v>
      </c>
      <c r="G73" s="6">
        <v>0.43951581957760932</v>
      </c>
      <c r="H73" s="6">
        <v>0.48381938452689099</v>
      </c>
      <c r="I73" s="6">
        <v>0.41671603799414503</v>
      </c>
      <c r="J73" s="6">
        <v>0.35896452138727719</v>
      </c>
      <c r="K73" s="6">
        <v>0.74591131633564722</v>
      </c>
      <c r="L73" s="6">
        <v>0.15274018320411914</v>
      </c>
      <c r="M73" s="6">
        <v>0.33787128712871289</v>
      </c>
      <c r="N73" s="6">
        <v>0.54329580605691219</v>
      </c>
      <c r="O73" s="6">
        <v>0.39361543135139787</v>
      </c>
      <c r="P73" s="6">
        <v>0.41214877675457545</v>
      </c>
      <c r="Q73" s="6">
        <f t="shared" si="4"/>
        <v>0.44407954738400546</v>
      </c>
      <c r="R73" s="6">
        <f t="shared" si="5"/>
        <v>72</v>
      </c>
    </row>
    <row r="74" spans="1:18" x14ac:dyDescent="0.2">
      <c r="A74" s="2" t="s">
        <v>158</v>
      </c>
      <c r="B74" s="2" t="s">
        <v>116</v>
      </c>
      <c r="C74" s="2" t="s">
        <v>136</v>
      </c>
      <c r="D74" s="2" t="s">
        <v>311</v>
      </c>
      <c r="E74" s="1">
        <v>0.67532934</v>
      </c>
      <c r="F74" s="6">
        <v>0.59416681232609103</v>
      </c>
      <c r="G74" s="6">
        <v>0.39762120101044679</v>
      </c>
      <c r="H74" s="6">
        <v>0.48377336784584413</v>
      </c>
      <c r="I74" s="6">
        <v>0.42744014237273859</v>
      </c>
      <c r="J74" s="6">
        <v>0.17426529553280815</v>
      </c>
      <c r="K74" s="6">
        <v>0.5433728321362632</v>
      </c>
      <c r="L74" s="6">
        <v>0.30367567628622083</v>
      </c>
      <c r="M74" s="6">
        <v>0.64132498543972039</v>
      </c>
      <c r="N74" s="6">
        <v>0.53772267969374066</v>
      </c>
      <c r="O74" s="6">
        <v>0.32617020363676641</v>
      </c>
      <c r="P74" s="6">
        <v>0.49610515949908085</v>
      </c>
      <c r="Q74" s="6">
        <f t="shared" si="4"/>
        <v>0.440616433212553</v>
      </c>
      <c r="R74" s="6">
        <f t="shared" si="5"/>
        <v>73</v>
      </c>
    </row>
    <row r="75" spans="1:18" x14ac:dyDescent="0.2">
      <c r="A75" s="2" t="s">
        <v>246</v>
      </c>
      <c r="B75" s="2" t="s">
        <v>72</v>
      </c>
      <c r="C75" s="2" t="s">
        <v>73</v>
      </c>
      <c r="D75" s="2" t="s">
        <v>309</v>
      </c>
      <c r="E75" s="1">
        <v>0.81544406000000003</v>
      </c>
      <c r="F75" s="6">
        <v>0.67342292372450996</v>
      </c>
      <c r="G75" s="6">
        <v>0.59359301280347365</v>
      </c>
      <c r="H75" s="6">
        <v>0.74655162496404937</v>
      </c>
      <c r="I75" s="6">
        <v>0.4090625</v>
      </c>
      <c r="J75" s="6">
        <v>8.5370370370370374E-3</v>
      </c>
      <c r="K75" s="6"/>
      <c r="L75" s="6">
        <v>0.35319758753364622</v>
      </c>
      <c r="M75" s="6">
        <v>0.86633663366336633</v>
      </c>
      <c r="N75" s="6">
        <v>0.70725290473400038</v>
      </c>
      <c r="O75" s="6">
        <v>0.24885231481481479</v>
      </c>
      <c r="P75" s="6">
        <v>0.40650994096150117</v>
      </c>
      <c r="Q75" s="6">
        <f t="shared" si="4"/>
        <v>0.43366977963457637</v>
      </c>
      <c r="R75" s="6">
        <f t="shared" si="5"/>
        <v>74</v>
      </c>
    </row>
    <row r="76" spans="1:18" x14ac:dyDescent="0.2">
      <c r="A76" s="2" t="s">
        <v>161</v>
      </c>
      <c r="B76" s="2" t="s">
        <v>116</v>
      </c>
      <c r="C76" s="2" t="s">
        <v>136</v>
      </c>
      <c r="D76" s="9" t="s">
        <v>311</v>
      </c>
      <c r="E76" s="1">
        <v>0.64352953999999996</v>
      </c>
      <c r="F76" s="6">
        <v>0.48202371400395932</v>
      </c>
      <c r="G76" s="6">
        <v>0.58447098955775967</v>
      </c>
      <c r="H76" s="6">
        <v>0.5133563416738568</v>
      </c>
      <c r="I76" s="6">
        <v>0.3669870158589752</v>
      </c>
      <c r="J76" s="6">
        <v>0.34259425234942947</v>
      </c>
      <c r="K76" s="6">
        <v>0.47930938457254252</v>
      </c>
      <c r="L76" s="6">
        <v>0.15143691039595461</v>
      </c>
      <c r="M76" s="6">
        <v>0.60627548048922542</v>
      </c>
      <c r="N76" s="6">
        <v>0.55584514681436459</v>
      </c>
      <c r="O76" s="6">
        <v>0.35722991045515695</v>
      </c>
      <c r="P76" s="6">
        <v>0.41232390795822693</v>
      </c>
      <c r="Q76" s="6">
        <f t="shared" si="4"/>
        <v>0.43334268061384024</v>
      </c>
      <c r="R76" s="6">
        <f t="shared" si="5"/>
        <v>75</v>
      </c>
    </row>
    <row r="77" spans="1:18" x14ac:dyDescent="0.2">
      <c r="A77" s="2" t="s">
        <v>130</v>
      </c>
      <c r="B77" s="2" t="s">
        <v>114</v>
      </c>
      <c r="C77" s="2" t="s">
        <v>114</v>
      </c>
      <c r="D77" s="9" t="s">
        <v>311</v>
      </c>
      <c r="E77" s="1">
        <v>0.40085616000000002</v>
      </c>
      <c r="F77" s="1">
        <v>0.5148302387539001</v>
      </c>
      <c r="G77" s="1">
        <v>0.39503516885298062</v>
      </c>
      <c r="H77" s="1">
        <v>0.50328156456715556</v>
      </c>
      <c r="I77" s="1">
        <v>0.35411631389397863</v>
      </c>
      <c r="J77" s="1">
        <v>0.37646508483104546</v>
      </c>
      <c r="K77" s="1">
        <v>0.60041123745367053</v>
      </c>
      <c r="L77" s="1">
        <v>0.18430961314292171</v>
      </c>
      <c r="M77" s="1">
        <v>0.71672393709959237</v>
      </c>
      <c r="N77" s="6">
        <v>0.45350078356085088</v>
      </c>
      <c r="O77" s="6">
        <v>0.36305582226880539</v>
      </c>
      <c r="P77" s="6">
        <v>0.50046072891745697</v>
      </c>
      <c r="Q77" s="6">
        <f t="shared" si="4"/>
        <v>0.43141078265101446</v>
      </c>
      <c r="R77" s="6">
        <f t="shared" si="5"/>
        <v>76</v>
      </c>
    </row>
    <row r="78" spans="1:18" x14ac:dyDescent="0.2">
      <c r="A78" s="2" t="s">
        <v>140</v>
      </c>
      <c r="B78" s="2" t="s">
        <v>108</v>
      </c>
      <c r="C78" s="2" t="s">
        <v>108</v>
      </c>
      <c r="D78" s="9" t="s">
        <v>311</v>
      </c>
      <c r="E78" s="1">
        <v>0.37178726000000001</v>
      </c>
      <c r="F78" s="1">
        <v>0.31749098935826581</v>
      </c>
      <c r="G78" s="1">
        <v>0.17916818850655303</v>
      </c>
      <c r="H78" s="1">
        <v>0.38297095197008912</v>
      </c>
      <c r="I78" s="1">
        <v>0.24196229649754636</v>
      </c>
      <c r="J78" s="1">
        <v>0.61258209244670869</v>
      </c>
      <c r="K78" s="1">
        <v>0.63054308379385782</v>
      </c>
      <c r="L78" s="1">
        <v>0.36312773548789901</v>
      </c>
      <c r="M78" s="1">
        <v>0.81301397786837515</v>
      </c>
      <c r="N78" s="6">
        <v>0.31285434660608558</v>
      </c>
      <c r="O78" s="6">
        <v>0.3902102148772113</v>
      </c>
      <c r="P78" s="6">
        <v>0.60220576618347321</v>
      </c>
      <c r="Q78" s="6">
        <f t="shared" si="4"/>
        <v>0.43060211978775209</v>
      </c>
      <c r="R78" s="6">
        <f t="shared" si="5"/>
        <v>77</v>
      </c>
    </row>
    <row r="79" spans="1:18" x14ac:dyDescent="0.2">
      <c r="A79" s="2" t="s">
        <v>152</v>
      </c>
      <c r="B79" s="2" t="s">
        <v>110</v>
      </c>
      <c r="C79" s="2" t="s">
        <v>126</v>
      </c>
      <c r="D79" s="9" t="s">
        <v>311</v>
      </c>
      <c r="E79" s="1">
        <v>0.40916659</v>
      </c>
      <c r="F79" s="1">
        <v>0.37018971108094667</v>
      </c>
      <c r="G79" s="1">
        <v>0.19676854265082827</v>
      </c>
      <c r="H79" s="1">
        <v>0.25859505320678744</v>
      </c>
      <c r="I79" s="1">
        <v>0.54085377519428823</v>
      </c>
      <c r="J79" s="1">
        <v>0.33908622524123255</v>
      </c>
      <c r="K79" s="1">
        <v>0.62021813822942939</v>
      </c>
      <c r="L79" s="1">
        <v>0.17658189184690742</v>
      </c>
      <c r="M79" s="1">
        <v>0.70645020384391377</v>
      </c>
      <c r="N79" s="6">
        <v>0.30867997538777525</v>
      </c>
      <c r="O79" s="6">
        <v>0.46014675521306597</v>
      </c>
      <c r="P79" s="6">
        <v>0.50106191327910177</v>
      </c>
      <c r="Q79" s="6">
        <f t="shared" si="4"/>
        <v>0.42698126868528952</v>
      </c>
      <c r="R79" s="6">
        <f t="shared" si="5"/>
        <v>78</v>
      </c>
    </row>
    <row r="80" spans="1:18" x14ac:dyDescent="0.2">
      <c r="A80" s="2" t="s">
        <v>194</v>
      </c>
      <c r="B80" s="2" t="s">
        <v>114</v>
      </c>
      <c r="C80" s="2" t="s">
        <v>114</v>
      </c>
      <c r="D80" s="2" t="s">
        <v>311</v>
      </c>
      <c r="E80" s="1">
        <v>0.59675403000000005</v>
      </c>
      <c r="F80" s="6">
        <v>0.51433119982088282</v>
      </c>
      <c r="G80" s="6">
        <v>0.36912384536451448</v>
      </c>
      <c r="H80" s="6">
        <v>0.43815645671555936</v>
      </c>
      <c r="I80" s="6">
        <v>0.31041204692403279</v>
      </c>
      <c r="J80" s="6">
        <v>0.36678197608901886</v>
      </c>
      <c r="K80" s="6">
        <v>0.61675693200005721</v>
      </c>
      <c r="L80" s="6">
        <v>0.25404095069268484</v>
      </c>
      <c r="M80" s="6">
        <v>0.60271112405358185</v>
      </c>
      <c r="N80" s="6">
        <v>0.47959138280882585</v>
      </c>
      <c r="O80" s="6">
        <v>0.33296001859002722</v>
      </c>
      <c r="P80" s="6">
        <v>0.49114806264416433</v>
      </c>
      <c r="Q80" s="6">
        <f t="shared" si="4"/>
        <v>0.42440584107190793</v>
      </c>
      <c r="R80" s="6">
        <f t="shared" si="5"/>
        <v>79</v>
      </c>
    </row>
    <row r="81" spans="1:18" x14ac:dyDescent="0.2">
      <c r="A81" s="2" t="s">
        <v>181</v>
      </c>
      <c r="B81" s="2" t="s">
        <v>114</v>
      </c>
      <c r="C81" s="2" t="s">
        <v>114</v>
      </c>
      <c r="D81" s="2" t="s">
        <v>311</v>
      </c>
      <c r="E81" s="1">
        <v>0.66368117000000004</v>
      </c>
      <c r="F81" s="6">
        <v>0.46178935769541674</v>
      </c>
      <c r="G81" s="6">
        <v>0.38888509100438606</v>
      </c>
      <c r="H81" s="6">
        <v>0.48120218579234975</v>
      </c>
      <c r="I81" s="6">
        <v>0.29511929771908757</v>
      </c>
      <c r="J81" s="6">
        <v>0.21387338501291989</v>
      </c>
      <c r="K81" s="6">
        <v>0.65177312755167427</v>
      </c>
      <c r="L81" s="6">
        <v>0.31249522747122244</v>
      </c>
      <c r="M81" s="6">
        <v>0.7277227722772277</v>
      </c>
      <c r="N81" s="6">
        <v>0.49888945228783765</v>
      </c>
      <c r="O81" s="6">
        <v>0.26262093263662051</v>
      </c>
      <c r="P81" s="6">
        <v>0.56397403243744071</v>
      </c>
      <c r="Q81" s="6">
        <f t="shared" si="4"/>
        <v>0.42390741847223168</v>
      </c>
      <c r="R81" s="6">
        <f t="shared" si="5"/>
        <v>80</v>
      </c>
    </row>
    <row r="82" spans="1:18" x14ac:dyDescent="0.2">
      <c r="A82" s="2" t="s">
        <v>237</v>
      </c>
      <c r="B82" s="2" t="s">
        <v>75</v>
      </c>
      <c r="C82" s="2" t="s">
        <v>146</v>
      </c>
      <c r="D82" s="9" t="s">
        <v>311</v>
      </c>
      <c r="E82" s="1">
        <v>0.44959785000000002</v>
      </c>
      <c r="F82" s="1">
        <v>0.45819083864413856</v>
      </c>
      <c r="G82" s="1">
        <v>0.14082513735975719</v>
      </c>
      <c r="H82" s="1">
        <v>0.18639200460166808</v>
      </c>
      <c r="I82" s="1">
        <v>0.59547783534466414</v>
      </c>
      <c r="J82" s="1">
        <v>0.33870649034807715</v>
      </c>
      <c r="K82" s="1">
        <v>0.42357315819344599</v>
      </c>
      <c r="L82" s="1">
        <v>0.16444471362079618</v>
      </c>
      <c r="M82" s="1">
        <v>0.63330227140361095</v>
      </c>
      <c r="N82" s="6">
        <v>0.30875145819064359</v>
      </c>
      <c r="O82" s="6">
        <v>0.49276929734602931</v>
      </c>
      <c r="P82" s="6">
        <v>0.4070918360508754</v>
      </c>
      <c r="Q82" s="6">
        <f t="shared" si="4"/>
        <v>0.41186070721086743</v>
      </c>
      <c r="R82" s="6">
        <f t="shared" si="5"/>
        <v>81</v>
      </c>
    </row>
    <row r="83" spans="1:18" x14ac:dyDescent="0.2">
      <c r="A83" s="2" t="s">
        <v>192</v>
      </c>
      <c r="B83" s="2" t="s">
        <v>75</v>
      </c>
      <c r="C83" s="2" t="s">
        <v>193</v>
      </c>
      <c r="D83" s="2" t="s">
        <v>311</v>
      </c>
      <c r="E83" s="1">
        <v>0.69094504999999995</v>
      </c>
      <c r="F83" s="6">
        <v>0.6052605790455311</v>
      </c>
      <c r="G83" s="6">
        <v>0.27278942162713116</v>
      </c>
      <c r="H83" s="6">
        <v>0.53294362956571761</v>
      </c>
      <c r="I83" s="6">
        <v>0.2996865167119479</v>
      </c>
      <c r="J83" s="6">
        <v>0.28953121478476446</v>
      </c>
      <c r="K83" s="6">
        <v>0.52939002288847492</v>
      </c>
      <c r="L83" s="6">
        <v>0.15791400759438051</v>
      </c>
      <c r="M83" s="6">
        <v>0.65049796156086193</v>
      </c>
      <c r="N83" s="6">
        <v>0.5254846702720245</v>
      </c>
      <c r="O83" s="6">
        <v>0.29562439594107454</v>
      </c>
      <c r="P83" s="6">
        <v>0.44591560780113032</v>
      </c>
      <c r="Q83" s="6">
        <f t="shared" si="4"/>
        <v>0.40966984179837629</v>
      </c>
      <c r="R83" s="6">
        <f t="shared" si="5"/>
        <v>82</v>
      </c>
    </row>
    <row r="84" spans="1:18" x14ac:dyDescent="0.2">
      <c r="A84" s="2" t="s">
        <v>202</v>
      </c>
      <c r="B84" s="2" t="s">
        <v>114</v>
      </c>
      <c r="C84" s="2" t="s">
        <v>184</v>
      </c>
      <c r="D84" s="9" t="s">
        <v>311</v>
      </c>
      <c r="E84" s="1">
        <v>0.39565884000000001</v>
      </c>
      <c r="F84" s="1">
        <v>0.35981659747348838</v>
      </c>
      <c r="G84" s="1">
        <v>0.18327662917941473</v>
      </c>
      <c r="H84" s="1">
        <v>0.42511935576646531</v>
      </c>
      <c r="I84" s="1">
        <v>0.35181287041132242</v>
      </c>
      <c r="J84" s="1">
        <v>0.40455734285160205</v>
      </c>
      <c r="K84" s="1">
        <v>0.43347560120461237</v>
      </c>
      <c r="L84" s="1">
        <v>0.31551912209964006</v>
      </c>
      <c r="M84" s="1">
        <v>0.82747815958066395</v>
      </c>
      <c r="N84" s="6">
        <v>0.34096785576098543</v>
      </c>
      <c r="O84" s="6">
        <v>0.37291065938743428</v>
      </c>
      <c r="P84" s="6">
        <v>0.52547518421847172</v>
      </c>
      <c r="Q84" s="6">
        <f t="shared" si="4"/>
        <v>0.40909717574881088</v>
      </c>
      <c r="R84" s="6">
        <f t="shared" si="5"/>
        <v>83</v>
      </c>
    </row>
    <row r="85" spans="1:18" x14ac:dyDescent="0.2">
      <c r="A85" s="2" t="s">
        <v>224</v>
      </c>
      <c r="B85" s="2" t="s">
        <v>116</v>
      </c>
      <c r="C85" s="2" t="s">
        <v>117</v>
      </c>
      <c r="D85" s="9" t="s">
        <v>311</v>
      </c>
      <c r="E85" s="1">
        <v>0.65058278999999997</v>
      </c>
      <c r="F85" s="1">
        <v>0.42684251645293908</v>
      </c>
      <c r="G85" s="1">
        <v>0.18869252922949986</v>
      </c>
      <c r="H85" s="1">
        <v>0.36879206212251936</v>
      </c>
      <c r="I85" s="1">
        <v>0.59471114551083593</v>
      </c>
      <c r="J85" s="1">
        <v>0.35448186759333511</v>
      </c>
      <c r="K85" s="1">
        <v>0.29300693977437742</v>
      </c>
      <c r="L85" s="1">
        <v>0.11921181848033752</v>
      </c>
      <c r="M85" s="1">
        <v>0.43777227722772283</v>
      </c>
      <c r="N85" s="6">
        <v>0.40872747474200122</v>
      </c>
      <c r="O85" s="6">
        <v>0.4986194343438356</v>
      </c>
      <c r="P85" s="6">
        <v>0.28332003496599945</v>
      </c>
      <c r="Q85" s="6">
        <f t="shared" si="4"/>
        <v>0.40706202664993446</v>
      </c>
      <c r="R85" s="6">
        <f t="shared" si="5"/>
        <v>84</v>
      </c>
    </row>
    <row r="86" spans="1:18" x14ac:dyDescent="0.2">
      <c r="A86" s="2" t="s">
        <v>244</v>
      </c>
      <c r="B86" s="2" t="s">
        <v>116</v>
      </c>
      <c r="C86" s="2" t="s">
        <v>136</v>
      </c>
      <c r="D86" s="2" t="s">
        <v>311</v>
      </c>
      <c r="E86" s="1">
        <v>0.67873645999999999</v>
      </c>
      <c r="F86" s="6">
        <v>0.56640907506002613</v>
      </c>
      <c r="G86" s="6">
        <v>0.43927536156346925</v>
      </c>
      <c r="H86" s="6">
        <v>0.48189243600805287</v>
      </c>
      <c r="I86" s="6">
        <v>0.39398195909942924</v>
      </c>
      <c r="J86" s="6">
        <v>0.20433851701600181</v>
      </c>
      <c r="K86" s="6">
        <v>0.46642280701754379</v>
      </c>
      <c r="L86" s="6">
        <v>0.25451250736062825</v>
      </c>
      <c r="M86" s="6">
        <v>0.40182294700058246</v>
      </c>
      <c r="N86" s="6">
        <v>0.54157833279453316</v>
      </c>
      <c r="O86" s="6">
        <v>0.31812458226605828</v>
      </c>
      <c r="P86" s="6">
        <v>0.37423622405001072</v>
      </c>
      <c r="Q86" s="6">
        <f t="shared" si="4"/>
        <v>0.40199419995978647</v>
      </c>
      <c r="R86" s="6">
        <f t="shared" si="5"/>
        <v>85</v>
      </c>
    </row>
    <row r="87" spans="1:18" x14ac:dyDescent="0.2">
      <c r="A87" s="2" t="s">
        <v>173</v>
      </c>
      <c r="B87" s="2" t="s">
        <v>116</v>
      </c>
      <c r="C87" s="2" t="s">
        <v>121</v>
      </c>
      <c r="D87" s="2" t="s">
        <v>311</v>
      </c>
      <c r="E87" s="1">
        <v>0.50523171</v>
      </c>
      <c r="F87" s="6">
        <v>0.27656212828027837</v>
      </c>
      <c r="G87" s="6">
        <v>0.17149561037521474</v>
      </c>
      <c r="H87" s="6">
        <v>0.31712683347713549</v>
      </c>
      <c r="I87" s="6">
        <v>0.4459587982561446</v>
      </c>
      <c r="J87" s="6">
        <v>0.35082498650355626</v>
      </c>
      <c r="K87" s="6">
        <v>0.60188435508049432</v>
      </c>
      <c r="L87" s="6">
        <v>0.17876054292034166</v>
      </c>
      <c r="M87" s="6">
        <v>0.64728013977868382</v>
      </c>
      <c r="N87" s="6">
        <v>0.31760407152840542</v>
      </c>
      <c r="O87" s="6">
        <v>0.4079052735551093</v>
      </c>
      <c r="P87" s="6">
        <v>0.47595413815281423</v>
      </c>
      <c r="Q87" s="6">
        <f t="shared" si="4"/>
        <v>0.40122957232640966</v>
      </c>
      <c r="R87" s="6">
        <f t="shared" si="5"/>
        <v>86</v>
      </c>
    </row>
    <row r="88" spans="1:18" x14ac:dyDescent="0.2">
      <c r="A88" s="2" t="s">
        <v>118</v>
      </c>
      <c r="B88" s="2" t="s">
        <v>310</v>
      </c>
      <c r="C88" s="2" t="s">
        <v>119</v>
      </c>
      <c r="D88" s="2" t="s">
        <v>311</v>
      </c>
      <c r="E88" s="1">
        <v>0.62451966999999997</v>
      </c>
      <c r="F88" s="6">
        <v>0.46727201190406298</v>
      </c>
      <c r="G88" s="6">
        <v>0.54410677009319042</v>
      </c>
      <c r="H88" s="6">
        <v>0.58021282714984179</v>
      </c>
      <c r="I88" s="6">
        <v>0.21078781512605038</v>
      </c>
      <c r="J88" s="6">
        <v>7.5657622739018091E-2</v>
      </c>
      <c r="K88" s="6">
        <v>0.85350414675674191</v>
      </c>
      <c r="L88" s="6">
        <v>0.19419537047591751</v>
      </c>
      <c r="M88" s="6">
        <v>0.67326732673267331</v>
      </c>
      <c r="N88" s="6">
        <v>0.55402782033713582</v>
      </c>
      <c r="O88" s="6">
        <v>0.15673573817123745</v>
      </c>
      <c r="P88" s="6">
        <v>0.57362629277654187</v>
      </c>
      <c r="Q88" s="6">
        <f t="shared" si="4"/>
        <v>0.40099052920259826</v>
      </c>
      <c r="R88" s="6">
        <f t="shared" si="5"/>
        <v>87</v>
      </c>
    </row>
    <row r="89" spans="1:18" x14ac:dyDescent="0.2">
      <c r="A89" s="2" t="s">
        <v>145</v>
      </c>
      <c r="B89" s="2" t="s">
        <v>75</v>
      </c>
      <c r="C89" s="2" t="s">
        <v>146</v>
      </c>
      <c r="D89" s="9" t="s">
        <v>311</v>
      </c>
      <c r="E89" s="1">
        <v>0.58540340000000002</v>
      </c>
      <c r="F89" s="1">
        <v>0.38507352572419906</v>
      </c>
      <c r="G89" s="1">
        <v>0.26389442019246956</v>
      </c>
      <c r="H89" s="1">
        <v>0.33963474259419035</v>
      </c>
      <c r="I89" s="1">
        <v>0.37311424780438485</v>
      </c>
      <c r="J89" s="1">
        <v>0.23375945406229853</v>
      </c>
      <c r="K89" s="1">
        <v>0.54857341879742172</v>
      </c>
      <c r="L89" s="1">
        <v>0.2629943817196076</v>
      </c>
      <c r="M89" s="1">
        <v>0.7418054746651136</v>
      </c>
      <c r="N89" s="6">
        <v>0.39350152103721669</v>
      </c>
      <c r="O89" s="6">
        <v>0.3173723303075503</v>
      </c>
      <c r="P89" s="6">
        <v>0.51777168203032375</v>
      </c>
      <c r="Q89" s="6">
        <f t="shared" si="4"/>
        <v>0.40033089304328229</v>
      </c>
      <c r="R89" s="6">
        <f t="shared" si="5"/>
        <v>88</v>
      </c>
    </row>
    <row r="90" spans="1:18" x14ac:dyDescent="0.2">
      <c r="A90" s="2" t="s">
        <v>175</v>
      </c>
      <c r="B90" s="2" t="s">
        <v>116</v>
      </c>
      <c r="C90" s="2" t="s">
        <v>136</v>
      </c>
      <c r="D90" s="2" t="s">
        <v>311</v>
      </c>
      <c r="E90" s="1">
        <v>0.67113226999999998</v>
      </c>
      <c r="F90" s="6">
        <v>0.41223355674644774</v>
      </c>
      <c r="G90" s="6">
        <v>0.29123703990186323</v>
      </c>
      <c r="H90" s="6">
        <v>0.39447080816796087</v>
      </c>
      <c r="I90" s="6">
        <v>0.40755287799330259</v>
      </c>
      <c r="J90" s="6">
        <v>0.14247474985717354</v>
      </c>
      <c r="K90" s="6">
        <v>0.54599416650044963</v>
      </c>
      <c r="L90" s="6">
        <v>0.24911216136580264</v>
      </c>
      <c r="M90" s="6">
        <v>0.66467967384973803</v>
      </c>
      <c r="N90" s="6">
        <v>0.44226841970461189</v>
      </c>
      <c r="O90" s="6">
        <v>0.30152162673885097</v>
      </c>
      <c r="P90" s="6">
        <v>0.48657608216601755</v>
      </c>
      <c r="Q90" s="6">
        <f t="shared" si="4"/>
        <v>0.39926200125672923</v>
      </c>
      <c r="R90" s="6">
        <f t="shared" si="5"/>
        <v>89</v>
      </c>
    </row>
    <row r="91" spans="1:18" x14ac:dyDescent="0.2">
      <c r="A91" s="2" t="s">
        <v>225</v>
      </c>
      <c r="B91" s="2" t="s">
        <v>116</v>
      </c>
      <c r="C91" s="2" t="s">
        <v>136</v>
      </c>
      <c r="D91" s="2" t="s">
        <v>311</v>
      </c>
      <c r="E91" s="1">
        <v>0.61114774999999999</v>
      </c>
      <c r="F91" s="6">
        <v>0.41897062322347589</v>
      </c>
      <c r="G91" s="6">
        <v>0.22510950527167189</v>
      </c>
      <c r="H91" s="6">
        <v>0.54006471095772213</v>
      </c>
      <c r="I91" s="6">
        <v>0.32359107432446665</v>
      </c>
      <c r="J91" s="6">
        <v>0.19009020341630373</v>
      </c>
      <c r="K91" s="6">
        <v>0.68467139678212341</v>
      </c>
      <c r="L91" s="6">
        <v>0.21615920552507722</v>
      </c>
      <c r="M91" s="6">
        <v>0.64914385556202681</v>
      </c>
      <c r="N91" s="6">
        <v>0.44882314718001265</v>
      </c>
      <c r="O91" s="6">
        <v>0.27019072596120147</v>
      </c>
      <c r="P91" s="6">
        <v>0.51663439333121275</v>
      </c>
      <c r="Q91" s="6">
        <f t="shared" si="4"/>
        <v>0.39771355253784824</v>
      </c>
      <c r="R91" s="6">
        <f t="shared" si="5"/>
        <v>90</v>
      </c>
    </row>
    <row r="92" spans="1:18" x14ac:dyDescent="0.2">
      <c r="A92" s="2" t="s">
        <v>172</v>
      </c>
      <c r="B92" s="2" t="s">
        <v>110</v>
      </c>
      <c r="C92" s="2" t="s">
        <v>126</v>
      </c>
      <c r="D92" s="9" t="s">
        <v>311</v>
      </c>
      <c r="E92" s="1">
        <v>0.40658125000000001</v>
      </c>
      <c r="F92" s="1">
        <v>0.36693183210241809</v>
      </c>
      <c r="G92" s="1">
        <v>0.14338349494509592</v>
      </c>
      <c r="H92" s="1">
        <v>0.29091026747195858</v>
      </c>
      <c r="I92" s="1">
        <v>0.55710290853183375</v>
      </c>
      <c r="J92" s="1">
        <v>0.32416964112562963</v>
      </c>
      <c r="K92" s="1">
        <v>0.4667852217660996</v>
      </c>
      <c r="L92" s="1">
        <v>0.17765290463012046</v>
      </c>
      <c r="M92" s="1">
        <v>0.50891380314502044</v>
      </c>
      <c r="N92" s="6">
        <v>0.30195171204319443</v>
      </c>
      <c r="O92" s="6">
        <v>0.46392960156935209</v>
      </c>
      <c r="P92" s="6">
        <v>0.38443432185873816</v>
      </c>
      <c r="Q92" s="6">
        <f t="shared" si="4"/>
        <v>0.39148765079832065</v>
      </c>
      <c r="R92" s="6">
        <f t="shared" si="5"/>
        <v>91</v>
      </c>
    </row>
    <row r="93" spans="1:18" x14ac:dyDescent="0.2">
      <c r="A93" s="2" t="s">
        <v>220</v>
      </c>
      <c r="B93" s="2" t="s">
        <v>116</v>
      </c>
      <c r="C93" s="2" t="s">
        <v>136</v>
      </c>
      <c r="D93" s="2" t="s">
        <v>311</v>
      </c>
      <c r="E93" s="1">
        <v>0.62138325999999999</v>
      </c>
      <c r="F93" s="6">
        <v>0.52841064976779661</v>
      </c>
      <c r="G93" s="6">
        <v>0.35606275757847594</v>
      </c>
      <c r="H93" s="6">
        <v>0.53887978142076498</v>
      </c>
      <c r="I93" s="6">
        <v>0.32038908826688572</v>
      </c>
      <c r="J93" s="6">
        <v>0.14198782961460446</v>
      </c>
      <c r="K93" s="6">
        <v>0.5695289042220385</v>
      </c>
      <c r="L93" s="6">
        <v>0.29327989120857934</v>
      </c>
      <c r="M93" s="6">
        <v>0.48995340710541641</v>
      </c>
      <c r="N93" s="6">
        <v>0.51118411114697448</v>
      </c>
      <c r="O93" s="6">
        <v>0.2490285848059732</v>
      </c>
      <c r="P93" s="6">
        <v>0.45090060896443096</v>
      </c>
      <c r="Q93" s="6">
        <f t="shared" si="4"/>
        <v>0.38823684995581093</v>
      </c>
      <c r="R93" s="6">
        <f t="shared" si="5"/>
        <v>92</v>
      </c>
    </row>
    <row r="94" spans="1:18" x14ac:dyDescent="0.2">
      <c r="A94" s="2" t="s">
        <v>177</v>
      </c>
      <c r="B94" s="2" t="s">
        <v>310</v>
      </c>
      <c r="C94" s="2" t="s">
        <v>134</v>
      </c>
      <c r="D94" s="2" t="s">
        <v>311</v>
      </c>
      <c r="E94" s="1">
        <v>0.59776881000000004</v>
      </c>
      <c r="F94" s="6">
        <v>0.4794374359298581</v>
      </c>
      <c r="G94" s="6">
        <v>0.4917177995804809</v>
      </c>
      <c r="H94" s="6">
        <v>0.56757118205349444</v>
      </c>
      <c r="I94" s="6">
        <v>0.26560511704681872</v>
      </c>
      <c r="J94" s="6">
        <v>0.18826227390180877</v>
      </c>
      <c r="K94" s="6">
        <v>0.75052177733838632</v>
      </c>
      <c r="L94" s="6">
        <v>0.14448967293350928</v>
      </c>
      <c r="M94" s="6">
        <v>0.41584158415841582</v>
      </c>
      <c r="N94" s="6">
        <v>0.53412380808913873</v>
      </c>
      <c r="O94" s="6">
        <v>0.23466797978881476</v>
      </c>
      <c r="P94" s="6">
        <v>0.43692537383808805</v>
      </c>
      <c r="Q94" s="6">
        <f t="shared" si="4"/>
        <v>0.38518194649369397</v>
      </c>
      <c r="R94" s="6">
        <f t="shared" si="5"/>
        <v>93</v>
      </c>
    </row>
    <row r="95" spans="1:18" x14ac:dyDescent="0.2">
      <c r="A95" s="2" t="s">
        <v>123</v>
      </c>
      <c r="B95" s="2" t="s">
        <v>110</v>
      </c>
      <c r="C95" s="2" t="s">
        <v>124</v>
      </c>
      <c r="D95" s="2" t="s">
        <v>311</v>
      </c>
      <c r="E95" s="1">
        <v>0.62974613000000002</v>
      </c>
      <c r="F95" s="6">
        <v>0.56161797712216122</v>
      </c>
      <c r="G95" s="6">
        <v>0.48462639517664197</v>
      </c>
      <c r="H95" s="6">
        <v>0.5693730227207362</v>
      </c>
      <c r="I95" s="6">
        <v>0.1422250150060024</v>
      </c>
      <c r="J95" s="6">
        <v>6.7120585701981053E-2</v>
      </c>
      <c r="K95" s="6">
        <v>0.86444773988026591</v>
      </c>
      <c r="L95" s="6">
        <v>0.16753265180158394</v>
      </c>
      <c r="M95" s="6">
        <v>0.66831683168316836</v>
      </c>
      <c r="N95" s="6">
        <v>0.56134088109256608</v>
      </c>
      <c r="O95" s="6">
        <v>0.11218324328439386</v>
      </c>
      <c r="P95" s="6">
        <v>0.56673614498256009</v>
      </c>
      <c r="Q95" s="6">
        <f t="shared" si="4"/>
        <v>0.38329640513629537</v>
      </c>
      <c r="R95" s="6">
        <f t="shared" si="5"/>
        <v>94</v>
      </c>
    </row>
    <row r="96" spans="1:18" x14ac:dyDescent="0.2">
      <c r="A96" s="2" t="s">
        <v>182</v>
      </c>
      <c r="B96" s="2" t="s">
        <v>114</v>
      </c>
      <c r="C96" s="2" t="s">
        <v>114</v>
      </c>
      <c r="D96" s="2" t="s">
        <v>311</v>
      </c>
      <c r="E96" s="1">
        <v>0.62855382000000004</v>
      </c>
      <c r="F96" s="6">
        <v>0.64007009953882565</v>
      </c>
      <c r="G96" s="6">
        <v>0.44516090517238643</v>
      </c>
      <c r="H96" s="6">
        <v>0.46673569168823703</v>
      </c>
      <c r="I96" s="6">
        <v>0.2183426844421979</v>
      </c>
      <c r="J96" s="6">
        <v>9.774858352857313E-2</v>
      </c>
      <c r="K96" s="6">
        <v>0.62259079946204343</v>
      </c>
      <c r="L96" s="6">
        <v>0.36397513700464651</v>
      </c>
      <c r="M96" s="6">
        <v>0.50540768782760626</v>
      </c>
      <c r="N96" s="6">
        <v>0.54513013032612356</v>
      </c>
      <c r="O96" s="6">
        <v>0.17010504407674798</v>
      </c>
      <c r="P96" s="6">
        <v>0.4973024066850974</v>
      </c>
      <c r="Q96" s="6">
        <f t="shared" si="4"/>
        <v>0.38077177873406548</v>
      </c>
      <c r="R96" s="6">
        <f t="shared" si="5"/>
        <v>95</v>
      </c>
    </row>
    <row r="97" spans="1:18" x14ac:dyDescent="0.2">
      <c r="A97" s="2" t="s">
        <v>125</v>
      </c>
      <c r="B97" s="2" t="s">
        <v>110</v>
      </c>
      <c r="C97" s="2" t="s">
        <v>126</v>
      </c>
      <c r="D97" s="9" t="s">
        <v>311</v>
      </c>
      <c r="E97" s="1">
        <v>0.43385586999999998</v>
      </c>
      <c r="F97" s="1">
        <v>0.5330943243213051</v>
      </c>
      <c r="G97" s="1">
        <v>0.10493367673577707</v>
      </c>
      <c r="H97" s="1">
        <v>0.3213704342824274</v>
      </c>
      <c r="I97" s="1">
        <v>0.44993148206651085</v>
      </c>
      <c r="J97" s="1">
        <v>0.17381113364886186</v>
      </c>
      <c r="K97" s="1">
        <v>0.64032581541232059</v>
      </c>
      <c r="L97" s="1">
        <v>0.16667836073041956</v>
      </c>
      <c r="M97" s="1">
        <v>0.58282178217821778</v>
      </c>
      <c r="N97" s="6">
        <v>0.34831357644353644</v>
      </c>
      <c r="O97" s="6">
        <v>0.33948334269945124</v>
      </c>
      <c r="P97" s="6">
        <v>0.46325322537800906</v>
      </c>
      <c r="Q97" s="6">
        <f t="shared" si="4"/>
        <v>0.37926337762624418</v>
      </c>
      <c r="R97" s="6">
        <f t="shared" si="5"/>
        <v>96</v>
      </c>
    </row>
    <row r="98" spans="1:18" x14ac:dyDescent="0.2">
      <c r="A98" s="2" t="s">
        <v>185</v>
      </c>
      <c r="B98" s="2" t="s">
        <v>116</v>
      </c>
      <c r="C98" s="2" t="s">
        <v>136</v>
      </c>
      <c r="D98" s="2" t="s">
        <v>311</v>
      </c>
      <c r="E98" s="1">
        <v>0.67192222000000001</v>
      </c>
      <c r="F98" s="6">
        <v>0.4296626722629675</v>
      </c>
      <c r="G98" s="6">
        <v>0.52970384602569731</v>
      </c>
      <c r="H98" s="6">
        <v>0.40206356054069603</v>
      </c>
      <c r="I98" s="6">
        <v>0.41230069501484806</v>
      </c>
      <c r="J98" s="6">
        <v>3.5496957403651115E-2</v>
      </c>
      <c r="K98" s="6">
        <v>0.55846958979357453</v>
      </c>
      <c r="L98" s="6">
        <v>0.26728091030668455</v>
      </c>
      <c r="M98" s="6">
        <v>0.38403319743739084</v>
      </c>
      <c r="N98" s="6">
        <v>0.5083380738669846</v>
      </c>
      <c r="O98" s="6">
        <v>0.26157919997036927</v>
      </c>
      <c r="P98" s="6">
        <v>0.40324159791212333</v>
      </c>
      <c r="Q98" s="6">
        <f t="shared" ref="Q98:Q129" si="6">(0.3*N98)+ (0.4*O98)+(0.3*P98)</f>
        <v>0.37810558152188006</v>
      </c>
      <c r="R98" s="6">
        <f t="shared" ref="R98:R129" si="7">RANK(Q98,$Q$2:$Q$187,0)</f>
        <v>97</v>
      </c>
    </row>
    <row r="99" spans="1:18" x14ac:dyDescent="0.2">
      <c r="A99" s="2" t="s">
        <v>133</v>
      </c>
      <c r="B99" s="2" t="s">
        <v>310</v>
      </c>
      <c r="C99" s="2" t="s">
        <v>134</v>
      </c>
      <c r="D99" s="9" t="s">
        <v>311</v>
      </c>
      <c r="E99" s="1">
        <v>0.51175168000000004</v>
      </c>
      <c r="F99" s="1">
        <v>0.44467443870812257</v>
      </c>
      <c r="G99" s="1">
        <v>0.33600640476361782</v>
      </c>
      <c r="H99" s="1">
        <v>0.52137762438884094</v>
      </c>
      <c r="I99" s="1">
        <v>0.39309750215875822</v>
      </c>
      <c r="J99" s="1">
        <v>0.28726092949877091</v>
      </c>
      <c r="K99" s="1">
        <v>0.5699708360061666</v>
      </c>
      <c r="L99" s="1">
        <v>9.071553413978195E-2</v>
      </c>
      <c r="M99" s="1">
        <v>0.34251892836342457</v>
      </c>
      <c r="N99" s="6">
        <v>0.45345253642151051</v>
      </c>
      <c r="O99" s="6">
        <v>0.35076287309476328</v>
      </c>
      <c r="P99" s="6">
        <v>0.33438235058383425</v>
      </c>
      <c r="Q99" s="6">
        <f t="shared" si="6"/>
        <v>0.37665561533950875</v>
      </c>
      <c r="R99" s="6">
        <f t="shared" si="7"/>
        <v>98</v>
      </c>
    </row>
    <row r="100" spans="1:18" x14ac:dyDescent="0.2">
      <c r="A100" s="2" t="s">
        <v>290</v>
      </c>
      <c r="B100" s="2" t="s">
        <v>310</v>
      </c>
      <c r="C100" s="2" t="s">
        <v>100</v>
      </c>
      <c r="D100" s="9" t="s">
        <v>311</v>
      </c>
      <c r="E100" s="1">
        <v>0.63172349000000005</v>
      </c>
      <c r="F100" s="1">
        <v>0.50638753911947865</v>
      </c>
      <c r="G100" s="1">
        <v>0.37175909473630619</v>
      </c>
      <c r="H100" s="1">
        <v>0.572204486626402</v>
      </c>
      <c r="I100" s="1">
        <v>0.35617309423769511</v>
      </c>
      <c r="J100" s="1">
        <v>7.1095176571920757E-2</v>
      </c>
      <c r="K100" s="1">
        <v>0.76649548708372239</v>
      </c>
      <c r="L100" s="1">
        <v>0.21800721065464884</v>
      </c>
      <c r="M100" s="1">
        <v>0.24752475247524752</v>
      </c>
      <c r="N100" s="6">
        <v>0.52051865194957314</v>
      </c>
      <c r="O100" s="6">
        <v>0.24214192717138536</v>
      </c>
      <c r="P100" s="6">
        <v>0.41064945768935046</v>
      </c>
      <c r="Q100" s="6">
        <f t="shared" si="6"/>
        <v>0.3762072037602312</v>
      </c>
      <c r="R100" s="6">
        <f t="shared" si="7"/>
        <v>99</v>
      </c>
    </row>
    <row r="101" spans="1:18" x14ac:dyDescent="0.2">
      <c r="A101" s="2" t="s">
        <v>187</v>
      </c>
      <c r="B101" s="2" t="s">
        <v>310</v>
      </c>
      <c r="C101" s="2" t="s">
        <v>119</v>
      </c>
      <c r="D101" s="2" t="s">
        <v>311</v>
      </c>
      <c r="E101" s="1">
        <v>0.63529400999999996</v>
      </c>
      <c r="F101" s="6">
        <v>0.38585664319874274</v>
      </c>
      <c r="G101" s="6">
        <v>0.55777599757913054</v>
      </c>
      <c r="H101" s="6">
        <v>0.54046016681046871</v>
      </c>
      <c r="I101" s="6">
        <v>0.25852453481392557</v>
      </c>
      <c r="J101" s="6">
        <v>0.12570413436692507</v>
      </c>
      <c r="K101" s="6">
        <v>0.71740722432763959</v>
      </c>
      <c r="L101" s="6">
        <v>0.13497018236905806</v>
      </c>
      <c r="M101" s="6">
        <v>0.49009900990099009</v>
      </c>
      <c r="N101" s="6">
        <v>0.52984670446170656</v>
      </c>
      <c r="O101" s="6">
        <v>0.20539637463512539</v>
      </c>
      <c r="P101" s="6">
        <v>0.44746761202480712</v>
      </c>
      <c r="Q101" s="6">
        <f t="shared" si="6"/>
        <v>0.3753528448000043</v>
      </c>
      <c r="R101" s="6">
        <f t="shared" si="7"/>
        <v>100</v>
      </c>
    </row>
    <row r="102" spans="1:18" x14ac:dyDescent="0.2">
      <c r="A102" s="2" t="s">
        <v>253</v>
      </c>
      <c r="B102" s="2" t="s">
        <v>310</v>
      </c>
      <c r="C102" s="2" t="s">
        <v>119</v>
      </c>
      <c r="D102" s="9" t="s">
        <v>311</v>
      </c>
      <c r="E102" s="1">
        <v>0.59918293</v>
      </c>
      <c r="F102" s="1">
        <v>0.1974009537701468</v>
      </c>
      <c r="G102" s="1">
        <v>0.51737163301869415</v>
      </c>
      <c r="H102" s="1">
        <v>0.55312482024733967</v>
      </c>
      <c r="I102" s="1">
        <v>0.44817076830732294</v>
      </c>
      <c r="J102" s="1">
        <v>8.8169250645994832E-2</v>
      </c>
      <c r="K102" s="1">
        <v>0.56938265502279339</v>
      </c>
      <c r="L102" s="1">
        <v>0.2021703392036816</v>
      </c>
      <c r="M102" s="1">
        <v>0.36138613861386137</v>
      </c>
      <c r="N102" s="6">
        <v>0.46677008399813147</v>
      </c>
      <c r="O102" s="6">
        <v>0.30417016124279167</v>
      </c>
      <c r="P102" s="6">
        <v>0.37762660382843449</v>
      </c>
      <c r="Q102" s="6">
        <f t="shared" si="6"/>
        <v>0.37498707084508642</v>
      </c>
      <c r="R102" s="6">
        <f t="shared" si="7"/>
        <v>101</v>
      </c>
    </row>
    <row r="103" spans="1:18" x14ac:dyDescent="0.2">
      <c r="A103" s="2" t="s">
        <v>186</v>
      </c>
      <c r="B103" s="2" t="s">
        <v>114</v>
      </c>
      <c r="C103" s="2" t="s">
        <v>114</v>
      </c>
      <c r="D103" s="2" t="s">
        <v>311</v>
      </c>
      <c r="E103" s="1">
        <v>0.66754871999999998</v>
      </c>
      <c r="F103" s="6">
        <v>0.53487363222948292</v>
      </c>
      <c r="G103" s="6">
        <v>0.36776549744653741</v>
      </c>
      <c r="H103" s="6">
        <v>0.39924503882657464</v>
      </c>
      <c r="I103" s="6">
        <v>0.40177858643457387</v>
      </c>
      <c r="J103" s="6">
        <v>5.0046511627906978E-2</v>
      </c>
      <c r="K103" s="6">
        <v>0.56680580729023633</v>
      </c>
      <c r="L103" s="6">
        <v>0.14428553554726656</v>
      </c>
      <c r="M103" s="6">
        <v>0.47029702970297027</v>
      </c>
      <c r="N103" s="6">
        <v>0.4923582213150412</v>
      </c>
      <c r="O103" s="6">
        <v>0.26108575651190713</v>
      </c>
      <c r="P103" s="6">
        <v>0.39377659293578632</v>
      </c>
      <c r="Q103" s="6">
        <f t="shared" si="6"/>
        <v>0.37027474688001111</v>
      </c>
      <c r="R103" s="6">
        <f t="shared" si="7"/>
        <v>102</v>
      </c>
    </row>
    <row r="104" spans="1:18" x14ac:dyDescent="0.2">
      <c r="A104" s="2" t="s">
        <v>128</v>
      </c>
      <c r="B104" s="2" t="s">
        <v>108</v>
      </c>
      <c r="C104" s="2" t="s">
        <v>108</v>
      </c>
      <c r="D104" s="9" t="s">
        <v>311</v>
      </c>
      <c r="E104" s="1">
        <v>0.37186140000000001</v>
      </c>
      <c r="F104" s="1">
        <v>0.46746911263581442</v>
      </c>
      <c r="G104" s="1">
        <v>0.14057808173562822</v>
      </c>
      <c r="H104" s="1">
        <v>0.28012942191544432</v>
      </c>
      <c r="I104" s="1">
        <v>0.430403902613677</v>
      </c>
      <c r="J104" s="1">
        <v>0.2397115167906243</v>
      </c>
      <c r="K104" s="1">
        <v>0.53483688249668948</v>
      </c>
      <c r="L104" s="1">
        <v>0.14556785222825758</v>
      </c>
      <c r="M104" s="1">
        <v>0.65717821782178221</v>
      </c>
      <c r="N104" s="6">
        <v>0.31500950303073216</v>
      </c>
      <c r="O104" s="6">
        <v>0.3541269482844559</v>
      </c>
      <c r="P104" s="6">
        <v>0.44584245200057981</v>
      </c>
      <c r="Q104" s="6">
        <f t="shared" si="6"/>
        <v>0.36990636582317593</v>
      </c>
      <c r="R104" s="6">
        <f t="shared" si="7"/>
        <v>103</v>
      </c>
    </row>
    <row r="105" spans="1:18" x14ac:dyDescent="0.2">
      <c r="A105" s="2" t="s">
        <v>171</v>
      </c>
      <c r="B105" s="2" t="s">
        <v>110</v>
      </c>
      <c r="C105" s="2" t="s">
        <v>111</v>
      </c>
      <c r="D105" s="9" t="s">
        <v>311</v>
      </c>
      <c r="E105" s="1">
        <v>0.37799791999999999</v>
      </c>
      <c r="F105" s="1">
        <v>0.39093469474387743</v>
      </c>
      <c r="G105" s="1">
        <v>0.14181609595460687</v>
      </c>
      <c r="H105" s="1">
        <v>0.39460023008340522</v>
      </c>
      <c r="I105" s="1">
        <v>0.59558906299361847</v>
      </c>
      <c r="J105" s="1">
        <v>0.25160699404059939</v>
      </c>
      <c r="K105" s="1">
        <v>0.31226150027825506</v>
      </c>
      <c r="L105" s="1">
        <v>0.14600730425948061</v>
      </c>
      <c r="M105" s="1">
        <v>0.41954280722189868</v>
      </c>
      <c r="N105" s="6">
        <v>0.32633723553778038</v>
      </c>
      <c r="O105" s="6">
        <v>0.45799623541241086</v>
      </c>
      <c r="P105" s="6">
        <v>0.29259283533125224</v>
      </c>
      <c r="Q105" s="6">
        <f t="shared" si="6"/>
        <v>0.3688775154256741</v>
      </c>
      <c r="R105" s="6">
        <f t="shared" si="7"/>
        <v>104</v>
      </c>
    </row>
    <row r="106" spans="1:18" x14ac:dyDescent="0.2">
      <c r="A106" s="2" t="s">
        <v>131</v>
      </c>
      <c r="B106" s="2" t="s">
        <v>116</v>
      </c>
      <c r="C106" s="2" t="s">
        <v>117</v>
      </c>
      <c r="D106" s="2" t="s">
        <v>311</v>
      </c>
      <c r="E106" s="1">
        <v>0.73769781999999995</v>
      </c>
      <c r="F106" s="6">
        <v>0.64491029051152249</v>
      </c>
      <c r="G106" s="6">
        <v>0.57035329542836577</v>
      </c>
      <c r="H106" s="6">
        <v>0.51701179177451828</v>
      </c>
      <c r="I106" s="6">
        <v>8.6028661464585834E-2</v>
      </c>
      <c r="J106" s="6">
        <v>5.0634366925064601E-2</v>
      </c>
      <c r="K106" s="6">
        <v>0.61693762472309177</v>
      </c>
      <c r="L106" s="6">
        <v>0.31017253577430753</v>
      </c>
      <c r="M106" s="6">
        <v>0.61386138613861385</v>
      </c>
      <c r="N106" s="6">
        <v>0.61749330026383786</v>
      </c>
      <c r="O106" s="6">
        <v>7.1870943648777344E-2</v>
      </c>
      <c r="P106" s="6">
        <v>0.51363537909559898</v>
      </c>
      <c r="Q106" s="6">
        <f t="shared" si="6"/>
        <v>0.36808698126734196</v>
      </c>
      <c r="R106" s="6">
        <f t="shared" si="7"/>
        <v>105</v>
      </c>
    </row>
    <row r="107" spans="1:18" x14ac:dyDescent="0.2">
      <c r="A107" s="2" t="s">
        <v>217</v>
      </c>
      <c r="B107" s="2" t="s">
        <v>110</v>
      </c>
      <c r="C107" s="2" t="s">
        <v>111</v>
      </c>
      <c r="D107" s="9" t="s">
        <v>311</v>
      </c>
      <c r="E107" s="1">
        <v>0.42720934999999999</v>
      </c>
      <c r="F107" s="1">
        <v>0.36980837843150349</v>
      </c>
      <c r="G107" s="1">
        <v>0.13558535675595138</v>
      </c>
      <c r="H107" s="1">
        <v>0.30459447799827444</v>
      </c>
      <c r="I107" s="1">
        <v>0.57296798719487796</v>
      </c>
      <c r="J107" s="1">
        <v>0.20745894722497391</v>
      </c>
      <c r="K107" s="1">
        <v>0.41065499721482246</v>
      </c>
      <c r="L107" s="1">
        <v>0.14919357947152989</v>
      </c>
      <c r="M107" s="1">
        <v>0.37964472917880021</v>
      </c>
      <c r="N107" s="6">
        <v>0.30929938975532822</v>
      </c>
      <c r="O107" s="6">
        <v>0.42676437120691635</v>
      </c>
      <c r="P107" s="6">
        <v>0.31315012292830235</v>
      </c>
      <c r="Q107" s="6">
        <f t="shared" si="6"/>
        <v>0.35744060228785574</v>
      </c>
      <c r="R107" s="6">
        <f t="shared" si="7"/>
        <v>106</v>
      </c>
    </row>
    <row r="108" spans="1:18" x14ac:dyDescent="0.2">
      <c r="A108" s="2" t="s">
        <v>240</v>
      </c>
      <c r="B108" s="2" t="s">
        <v>116</v>
      </c>
      <c r="C108" s="2" t="s">
        <v>117</v>
      </c>
      <c r="D108" s="9" t="s">
        <v>311</v>
      </c>
      <c r="E108" s="1">
        <v>0.60038901</v>
      </c>
      <c r="F108" s="1">
        <v>0.11052381715792751</v>
      </c>
      <c r="G108" s="1">
        <v>0.25436638958800128</v>
      </c>
      <c r="H108" s="1">
        <v>0.37682053494391715</v>
      </c>
      <c r="I108" s="1">
        <v>0.73568352340936372</v>
      </c>
      <c r="J108" s="1">
        <v>0.12114168819982775</v>
      </c>
      <c r="K108" s="1">
        <v>2.6052250965745795E-2</v>
      </c>
      <c r="L108" s="1">
        <v>0.16984634811568863</v>
      </c>
      <c r="M108" s="1">
        <v>0.40594059405940597</v>
      </c>
      <c r="N108" s="6">
        <v>0.33552493725826527</v>
      </c>
      <c r="O108" s="6">
        <v>0.48986678932554928</v>
      </c>
      <c r="P108" s="6">
        <v>0.20061149450388954</v>
      </c>
      <c r="Q108" s="6">
        <f t="shared" si="6"/>
        <v>0.35678764525886614</v>
      </c>
      <c r="R108" s="6">
        <f t="shared" si="7"/>
        <v>107</v>
      </c>
    </row>
    <row r="109" spans="1:18" x14ac:dyDescent="0.2">
      <c r="A109" s="2" t="s">
        <v>191</v>
      </c>
      <c r="B109" s="2" t="s">
        <v>116</v>
      </c>
      <c r="C109" s="2" t="s">
        <v>121</v>
      </c>
      <c r="D109" s="9" t="s">
        <v>311</v>
      </c>
      <c r="E109" s="1">
        <v>0.57900052999999996</v>
      </c>
      <c r="F109" s="1">
        <v>0.34791611680927192</v>
      </c>
      <c r="G109" s="1">
        <v>0.25248342454942058</v>
      </c>
      <c r="H109" s="1">
        <v>0.33230946218004032</v>
      </c>
      <c r="I109" s="1">
        <v>0.49678364819612064</v>
      </c>
      <c r="J109" s="1">
        <v>0.23185265552358339</v>
      </c>
      <c r="K109" s="1">
        <v>0.38291597716110559</v>
      </c>
      <c r="L109" s="1">
        <v>9.9891658636946934E-2</v>
      </c>
      <c r="M109" s="1">
        <v>0.38026208503203263</v>
      </c>
      <c r="N109" s="6">
        <v>0.37792738218467059</v>
      </c>
      <c r="O109" s="6">
        <v>0.39081125112710574</v>
      </c>
      <c r="P109" s="6">
        <v>0.28767668335123253</v>
      </c>
      <c r="Q109" s="6">
        <f t="shared" si="6"/>
        <v>0.35600572011161324</v>
      </c>
      <c r="R109" s="6">
        <f t="shared" si="7"/>
        <v>108</v>
      </c>
    </row>
    <row r="110" spans="1:18" x14ac:dyDescent="0.2">
      <c r="A110" s="2" t="s">
        <v>190</v>
      </c>
      <c r="B110" s="2" t="s">
        <v>75</v>
      </c>
      <c r="C110" s="2" t="s">
        <v>146</v>
      </c>
      <c r="D110" s="9" t="s">
        <v>311</v>
      </c>
      <c r="E110" s="1">
        <v>0.57322596000000003</v>
      </c>
      <c r="F110" s="1">
        <v>0.48323693646499905</v>
      </c>
      <c r="G110" s="1">
        <v>0.48102781495590902</v>
      </c>
      <c r="H110" s="1">
        <v>0.44230083405234399</v>
      </c>
      <c r="I110" s="1">
        <v>0.37872599039615845</v>
      </c>
      <c r="J110" s="1">
        <v>0</v>
      </c>
      <c r="K110" s="1">
        <v>0.67579319309423114</v>
      </c>
      <c r="L110" s="1">
        <v>0.21977456767013509</v>
      </c>
      <c r="M110" s="1">
        <v>0.22277227722772278</v>
      </c>
      <c r="N110" s="6">
        <v>0.49494788634600267</v>
      </c>
      <c r="O110" s="6">
        <v>0.22723559423769507</v>
      </c>
      <c r="P110" s="6">
        <v>0.37275667938494184</v>
      </c>
      <c r="Q110" s="6">
        <f t="shared" si="6"/>
        <v>0.35120560741436135</v>
      </c>
      <c r="R110" s="6">
        <f t="shared" si="7"/>
        <v>109</v>
      </c>
    </row>
    <row r="111" spans="1:18" x14ac:dyDescent="0.2">
      <c r="A111" s="2" t="s">
        <v>162</v>
      </c>
      <c r="B111" s="2" t="s">
        <v>114</v>
      </c>
      <c r="C111" s="2" t="s">
        <v>114</v>
      </c>
      <c r="D111" s="2" t="s">
        <v>311</v>
      </c>
      <c r="E111" s="1">
        <v>0.63590270000000004</v>
      </c>
      <c r="F111" s="6">
        <v>0.48578461368244691</v>
      </c>
      <c r="G111" s="6">
        <v>0.26782633686276158</v>
      </c>
      <c r="H111" s="6">
        <v>0.41552631578947363</v>
      </c>
      <c r="I111" s="6">
        <v>0.22453068727490999</v>
      </c>
      <c r="J111" s="6">
        <v>6.3145994832041349E-2</v>
      </c>
      <c r="K111" s="6">
        <v>0.71501345636293734</v>
      </c>
      <c r="L111" s="6">
        <v>0.21776220706691291</v>
      </c>
      <c r="M111" s="6">
        <v>0.58415841584158412</v>
      </c>
      <c r="N111" s="6">
        <v>0.45125999101300707</v>
      </c>
      <c r="O111" s="6">
        <v>0.15997681029776253</v>
      </c>
      <c r="P111" s="6">
        <v>0.50561993871510391</v>
      </c>
      <c r="Q111" s="6">
        <f t="shared" si="6"/>
        <v>0.35105470303753833</v>
      </c>
      <c r="R111" s="6">
        <f t="shared" si="7"/>
        <v>110</v>
      </c>
    </row>
    <row r="112" spans="1:18" x14ac:dyDescent="0.2">
      <c r="A112" s="2" t="s">
        <v>211</v>
      </c>
      <c r="B112" s="2" t="s">
        <v>310</v>
      </c>
      <c r="C112" s="2" t="s">
        <v>119</v>
      </c>
      <c r="D112" s="9" t="s">
        <v>311</v>
      </c>
      <c r="E112" s="1">
        <v>0.53734165</v>
      </c>
      <c r="F112" s="1">
        <v>0.12649732203741923</v>
      </c>
      <c r="G112" s="1">
        <v>0.39876625049257391</v>
      </c>
      <c r="H112" s="1">
        <v>0.56680615473108997</v>
      </c>
      <c r="I112" s="1">
        <v>0.31888092737094842</v>
      </c>
      <c r="J112" s="1">
        <v>9.6706287683031869E-2</v>
      </c>
      <c r="K112" s="1">
        <v>0.66666666666666663</v>
      </c>
      <c r="L112" s="1">
        <v>0.1524473987780999</v>
      </c>
      <c r="M112" s="1">
        <v>0.54455445544554459</v>
      </c>
      <c r="N112" s="6">
        <v>0.40735284390351489</v>
      </c>
      <c r="O112" s="6">
        <v>0.23001107149578179</v>
      </c>
      <c r="P112" s="6">
        <v>0.45453326173173375</v>
      </c>
      <c r="Q112" s="6">
        <f t="shared" si="6"/>
        <v>0.35057026028888727</v>
      </c>
      <c r="R112" s="6">
        <f t="shared" si="7"/>
        <v>111</v>
      </c>
    </row>
    <row r="113" spans="1:18" x14ac:dyDescent="0.2">
      <c r="A113" s="2" t="s">
        <v>227</v>
      </c>
      <c r="B113" s="2" t="s">
        <v>75</v>
      </c>
      <c r="C113" s="2" t="s">
        <v>146</v>
      </c>
      <c r="D113" s="9" t="s">
        <v>311</v>
      </c>
      <c r="E113" s="1">
        <v>0.49026605000000001</v>
      </c>
      <c r="F113" s="1">
        <v>0.43022829161579279</v>
      </c>
      <c r="G113" s="1">
        <v>0.14451008154829709</v>
      </c>
      <c r="H113" s="1">
        <v>0.15894736842105261</v>
      </c>
      <c r="I113" s="1">
        <v>0.44757527642636002</v>
      </c>
      <c r="J113" s="1">
        <v>0.29349340377690769</v>
      </c>
      <c r="K113" s="1">
        <v>0.35504789025094985</v>
      </c>
      <c r="L113" s="1">
        <v>0.13128470968539613</v>
      </c>
      <c r="M113" s="1">
        <v>0.55763249854397201</v>
      </c>
      <c r="N113" s="6">
        <v>0.30598794757895997</v>
      </c>
      <c r="O113" s="6">
        <v>0.38594252736657908</v>
      </c>
      <c r="P113" s="6">
        <v>0.34797590773723247</v>
      </c>
      <c r="Q113" s="6">
        <f t="shared" si="6"/>
        <v>0.35056616754148934</v>
      </c>
      <c r="R113" s="6">
        <f t="shared" si="7"/>
        <v>112</v>
      </c>
    </row>
    <row r="114" spans="1:18" x14ac:dyDescent="0.2">
      <c r="A114" s="2" t="s">
        <v>168</v>
      </c>
      <c r="B114" s="2" t="s">
        <v>310</v>
      </c>
      <c r="C114" s="2" t="s">
        <v>119</v>
      </c>
      <c r="D114" s="9" t="s">
        <v>311</v>
      </c>
      <c r="E114" s="1">
        <v>0.53232975999999999</v>
      </c>
      <c r="F114" s="1">
        <v>0.25882164001499297</v>
      </c>
      <c r="G114" s="1">
        <v>0.34575964340287857</v>
      </c>
      <c r="H114" s="1">
        <v>0.43039545585274658</v>
      </c>
      <c r="I114" s="1">
        <v>0.17789578331332531</v>
      </c>
      <c r="J114" s="1">
        <v>0.32191559000861325</v>
      </c>
      <c r="K114" s="1">
        <v>0.72325204591640579</v>
      </c>
      <c r="L114" s="1">
        <v>0.14973300075355389</v>
      </c>
      <c r="M114" s="1">
        <v>0.50495049504950495</v>
      </c>
      <c r="N114" s="6">
        <v>0.39182662403926555</v>
      </c>
      <c r="O114" s="6">
        <v>0.23550370599144049</v>
      </c>
      <c r="P114" s="6">
        <v>0.45928707141145686</v>
      </c>
      <c r="Q114" s="6">
        <f t="shared" si="6"/>
        <v>0.34953559103179288</v>
      </c>
      <c r="R114" s="6">
        <f t="shared" si="7"/>
        <v>113</v>
      </c>
    </row>
    <row r="115" spans="1:18" x14ac:dyDescent="0.2">
      <c r="A115" s="2" t="s">
        <v>257</v>
      </c>
      <c r="B115" s="2" t="s">
        <v>116</v>
      </c>
      <c r="C115" s="2" t="s">
        <v>136</v>
      </c>
      <c r="D115" s="2" t="s">
        <v>311</v>
      </c>
      <c r="E115" s="1">
        <v>0.65999728999999996</v>
      </c>
      <c r="F115" s="6">
        <v>0.55576308147998854</v>
      </c>
      <c r="G115" s="6">
        <v>0.34288870031958468</v>
      </c>
      <c r="H115" s="6">
        <v>0.50300402645959164</v>
      </c>
      <c r="I115" s="6">
        <v>0.41536470377624735</v>
      </c>
      <c r="J115" s="6">
        <v>0.23319024482286899</v>
      </c>
      <c r="K115" s="6">
        <v>2.1806096801543898E-2</v>
      </c>
      <c r="L115" s="6">
        <v>0.18587339041433437</v>
      </c>
      <c r="M115" s="6">
        <v>0.31645894001164826</v>
      </c>
      <c r="N115" s="6">
        <v>0.51541327538968262</v>
      </c>
      <c r="O115" s="6">
        <v>0.34249492019489602</v>
      </c>
      <c r="P115" s="6">
        <v>0.17471135714166741</v>
      </c>
      <c r="Q115" s="6">
        <f t="shared" si="6"/>
        <v>0.34403535783736339</v>
      </c>
      <c r="R115" s="6">
        <f t="shared" si="7"/>
        <v>114</v>
      </c>
    </row>
    <row r="116" spans="1:18" x14ac:dyDescent="0.2">
      <c r="A116" s="2" t="s">
        <v>196</v>
      </c>
      <c r="B116" s="2" t="s">
        <v>114</v>
      </c>
      <c r="C116" s="2" t="s">
        <v>114</v>
      </c>
      <c r="D116" s="9" t="s">
        <v>311</v>
      </c>
      <c r="E116" s="1">
        <v>0.31158038999999998</v>
      </c>
      <c r="F116" s="1">
        <v>0.17125153572252816</v>
      </c>
      <c r="G116" s="1">
        <v>0.34554874453611206</v>
      </c>
      <c r="H116" s="1">
        <v>0.37819959735404085</v>
      </c>
      <c r="I116" s="1">
        <v>0.30937317874518233</v>
      </c>
      <c r="J116" s="1">
        <v>0.34824100717539086</v>
      </c>
      <c r="K116" s="1">
        <v>0.36655808897659203</v>
      </c>
      <c r="L116" s="1">
        <v>0.17212538056839288</v>
      </c>
      <c r="M116" s="1">
        <v>0.65693360512521837</v>
      </c>
      <c r="N116" s="6">
        <v>0.30164506619085873</v>
      </c>
      <c r="O116" s="6">
        <v>0.32492031011726574</v>
      </c>
      <c r="P116" s="6">
        <v>0.39852601355796491</v>
      </c>
      <c r="Q116" s="6">
        <f t="shared" si="6"/>
        <v>0.34001944797155337</v>
      </c>
      <c r="R116" s="6">
        <f t="shared" si="7"/>
        <v>115</v>
      </c>
    </row>
    <row r="117" spans="1:18" x14ac:dyDescent="0.2">
      <c r="A117" s="2" t="s">
        <v>200</v>
      </c>
      <c r="B117" s="2" t="s">
        <v>108</v>
      </c>
      <c r="C117" s="2" t="s">
        <v>108</v>
      </c>
      <c r="D117" s="2" t="s">
        <v>311</v>
      </c>
      <c r="E117" s="1">
        <v>0.40151552000000001</v>
      </c>
      <c r="F117" s="6">
        <v>0.46883674672349479</v>
      </c>
      <c r="G117" s="6">
        <v>0.32708125469609395</v>
      </c>
      <c r="H117" s="6">
        <v>0.30499999999999994</v>
      </c>
      <c r="I117" s="6">
        <v>0.36406980687011636</v>
      </c>
      <c r="J117" s="6">
        <v>5.963488843813386E-2</v>
      </c>
      <c r="K117" s="6">
        <v>0.34697677050618225</v>
      </c>
      <c r="L117" s="6">
        <v>0.23919497243943147</v>
      </c>
      <c r="M117" s="6">
        <v>0.64536983110075719</v>
      </c>
      <c r="N117" s="6">
        <v>0.37560838154681603</v>
      </c>
      <c r="O117" s="6">
        <v>0.24229583949732336</v>
      </c>
      <c r="P117" s="6">
        <v>0.41050127968325489</v>
      </c>
      <c r="Q117" s="6">
        <f t="shared" si="6"/>
        <v>0.3327512341679506</v>
      </c>
      <c r="R117" s="6">
        <f t="shared" si="7"/>
        <v>116</v>
      </c>
    </row>
    <row r="118" spans="1:18" x14ac:dyDescent="0.2">
      <c r="A118" s="2" t="s">
        <v>180</v>
      </c>
      <c r="B118" s="2" t="s">
        <v>108</v>
      </c>
      <c r="C118" s="2" t="s">
        <v>108</v>
      </c>
      <c r="D118" s="9" t="s">
        <v>311</v>
      </c>
      <c r="E118" s="1">
        <v>0.38073125000000002</v>
      </c>
      <c r="F118" s="1">
        <v>0.43958213848634148</v>
      </c>
      <c r="G118" s="1">
        <v>0.22590038746388627</v>
      </c>
      <c r="H118" s="1">
        <v>0.42933994823123384</v>
      </c>
      <c r="I118" s="1">
        <v>0.31268007202881154</v>
      </c>
      <c r="J118" s="1">
        <v>7.6245478036175707E-2</v>
      </c>
      <c r="K118" s="1">
        <v>0.44402793797257467</v>
      </c>
      <c r="L118" s="1">
        <v>0.13302751994238557</v>
      </c>
      <c r="M118" s="1">
        <v>0.76237623762376239</v>
      </c>
      <c r="N118" s="6">
        <v>0.36888843012089439</v>
      </c>
      <c r="O118" s="6">
        <v>0.2181062344317572</v>
      </c>
      <c r="P118" s="6">
        <v>0.44646173336449613</v>
      </c>
      <c r="Q118" s="6">
        <f t="shared" si="6"/>
        <v>0.33184754281832007</v>
      </c>
      <c r="R118" s="6">
        <f t="shared" si="7"/>
        <v>117</v>
      </c>
    </row>
    <row r="119" spans="1:18" x14ac:dyDescent="0.2">
      <c r="A119" s="2" t="s">
        <v>174</v>
      </c>
      <c r="B119" s="2" t="s">
        <v>116</v>
      </c>
      <c r="C119" s="2" t="s">
        <v>121</v>
      </c>
      <c r="D119" s="2" t="s">
        <v>311</v>
      </c>
      <c r="E119" s="1">
        <v>0.56526335999999999</v>
      </c>
      <c r="F119" s="6">
        <v>0.39333003066334893</v>
      </c>
      <c r="G119" s="6">
        <v>0.326564696344883</v>
      </c>
      <c r="H119" s="6">
        <v>0.45031348863963183</v>
      </c>
      <c r="I119" s="6">
        <v>0.30303239401023568</v>
      </c>
      <c r="J119" s="6">
        <v>1.7624521072796929E-2</v>
      </c>
      <c r="K119" s="6">
        <v>0.52520511722842822</v>
      </c>
      <c r="L119" s="6">
        <v>0.20317416019160628</v>
      </c>
      <c r="M119" s="6">
        <v>0.53295573675014563</v>
      </c>
      <c r="N119" s="6">
        <v>0.43386789459796288</v>
      </c>
      <c r="O119" s="6">
        <v>0.18886924483526016</v>
      </c>
      <c r="P119" s="6">
        <v>0.42042664298703958</v>
      </c>
      <c r="Q119" s="6">
        <f t="shared" si="6"/>
        <v>0.33183605920960479</v>
      </c>
      <c r="R119" s="6">
        <f t="shared" si="7"/>
        <v>118</v>
      </c>
    </row>
    <row r="120" spans="1:18" x14ac:dyDescent="0.2">
      <c r="A120" s="2" t="s">
        <v>198</v>
      </c>
      <c r="B120" s="2" t="s">
        <v>114</v>
      </c>
      <c r="C120" s="2" t="s">
        <v>184</v>
      </c>
      <c r="D120" s="9" t="s">
        <v>311</v>
      </c>
      <c r="E120" s="1">
        <v>0.45400551</v>
      </c>
      <c r="F120" s="1">
        <v>0.408320622498546</v>
      </c>
      <c r="G120" s="1">
        <v>0.28211058300347802</v>
      </c>
      <c r="H120" s="1">
        <v>0.48879206212251941</v>
      </c>
      <c r="I120" s="1">
        <v>0.17207231734799183</v>
      </c>
      <c r="J120" s="1">
        <v>0.26967676672379726</v>
      </c>
      <c r="K120" s="1">
        <v>0.50758443415518628</v>
      </c>
      <c r="L120" s="1">
        <v>0.14313506725054337</v>
      </c>
      <c r="M120" s="1">
        <v>0.59700349446709378</v>
      </c>
      <c r="N120" s="6">
        <v>0.40830719357964085</v>
      </c>
      <c r="O120" s="6">
        <v>0.21111409709831402</v>
      </c>
      <c r="P120" s="6">
        <v>0.41589006969174697</v>
      </c>
      <c r="Q120" s="6">
        <f t="shared" si="6"/>
        <v>0.3317048178207419</v>
      </c>
      <c r="R120" s="6">
        <f t="shared" si="7"/>
        <v>119</v>
      </c>
    </row>
    <row r="121" spans="1:18" x14ac:dyDescent="0.2">
      <c r="A121" s="2" t="s">
        <v>233</v>
      </c>
      <c r="B121" s="2" t="s">
        <v>310</v>
      </c>
      <c r="C121" s="2" t="s">
        <v>119</v>
      </c>
      <c r="D121" s="9" t="s">
        <v>311</v>
      </c>
      <c r="E121" s="1">
        <v>0.63753267999999996</v>
      </c>
      <c r="F121" s="1">
        <v>0.42970630472775551</v>
      </c>
      <c r="G121" s="1">
        <v>0.42007285935921707</v>
      </c>
      <c r="H121" s="1">
        <v>0.5076934138625252</v>
      </c>
      <c r="I121" s="1">
        <v>0.3072546518607443</v>
      </c>
      <c r="J121" s="1">
        <v>5.8583548664944016E-2</v>
      </c>
      <c r="K121" s="1">
        <v>0.64728767323923031</v>
      </c>
      <c r="L121" s="1">
        <v>0.15037184674645204</v>
      </c>
      <c r="M121" s="1">
        <v>0.18316831683168316</v>
      </c>
      <c r="N121" s="6">
        <v>0.49875131329962774</v>
      </c>
      <c r="O121" s="6">
        <v>0.20778621058242416</v>
      </c>
      <c r="P121" s="6">
        <v>0.32692047372108579</v>
      </c>
      <c r="Q121" s="6">
        <f t="shared" si="6"/>
        <v>0.33081602033918367</v>
      </c>
      <c r="R121" s="6">
        <f t="shared" si="7"/>
        <v>120</v>
      </c>
    </row>
    <row r="122" spans="1:18" x14ac:dyDescent="0.2">
      <c r="A122" s="2" t="s">
        <v>176</v>
      </c>
      <c r="B122" s="2" t="s">
        <v>116</v>
      </c>
      <c r="C122" s="2" t="s">
        <v>117</v>
      </c>
      <c r="D122" s="9" t="s">
        <v>311</v>
      </c>
      <c r="E122" s="1">
        <v>0.61737134999999999</v>
      </c>
      <c r="F122" s="1">
        <v>0.47101858850064882</v>
      </c>
      <c r="G122" s="1">
        <v>0.33671831877010838</v>
      </c>
      <c r="H122" s="1">
        <v>0.42171412136899628</v>
      </c>
      <c r="I122" s="1">
        <v>0.52650022509003602</v>
      </c>
      <c r="J122" s="1">
        <v>1.7074074074074075E-2</v>
      </c>
      <c r="K122" s="1">
        <v>0.25573497372805332</v>
      </c>
      <c r="L122" s="1">
        <v>0.22293102191955</v>
      </c>
      <c r="M122" s="1">
        <v>0.15346534653465346</v>
      </c>
      <c r="N122" s="6">
        <v>0.46170559389961879</v>
      </c>
      <c r="O122" s="6">
        <v>0.32272976468365122</v>
      </c>
      <c r="P122" s="6">
        <v>0.21070112863643942</v>
      </c>
      <c r="Q122" s="6">
        <f t="shared" si="6"/>
        <v>0.330813922634278</v>
      </c>
      <c r="R122" s="6">
        <f t="shared" si="7"/>
        <v>121</v>
      </c>
    </row>
    <row r="123" spans="1:18" x14ac:dyDescent="0.2">
      <c r="A123" s="2" t="s">
        <v>254</v>
      </c>
      <c r="B123" s="2" t="s">
        <v>310</v>
      </c>
      <c r="C123" s="2" t="s">
        <v>134</v>
      </c>
      <c r="D123" s="9" t="s">
        <v>311</v>
      </c>
      <c r="E123" s="1">
        <v>0.55344241000000005</v>
      </c>
      <c r="F123" s="1">
        <v>0.3882557454264644</v>
      </c>
      <c r="G123" s="1">
        <v>0.32955567057281371</v>
      </c>
      <c r="H123" s="1">
        <v>0.46741587575496113</v>
      </c>
      <c r="I123" s="1">
        <v>0.16977115846338536</v>
      </c>
      <c r="J123" s="1">
        <v>0.22182256675279932</v>
      </c>
      <c r="K123" s="1">
        <v>0.58135149484630455</v>
      </c>
      <c r="L123" s="1">
        <v>0.22025441242646213</v>
      </c>
      <c r="M123" s="1">
        <v>0.37623762376237624</v>
      </c>
      <c r="N123" s="6">
        <v>0.4346674258932382</v>
      </c>
      <c r="O123" s="6">
        <v>0.19059172177915096</v>
      </c>
      <c r="P123" s="6">
        <v>0.39259427236797007</v>
      </c>
      <c r="Q123" s="6">
        <f t="shared" si="6"/>
        <v>0.32441519819002285</v>
      </c>
      <c r="R123" s="6">
        <f t="shared" si="7"/>
        <v>122</v>
      </c>
    </row>
    <row r="124" spans="1:18" x14ac:dyDescent="0.2">
      <c r="A124" s="2" t="s">
        <v>157</v>
      </c>
      <c r="B124" s="2" t="s">
        <v>110</v>
      </c>
      <c r="C124" s="2" t="s">
        <v>126</v>
      </c>
      <c r="D124" s="9" t="s">
        <v>311</v>
      </c>
      <c r="E124" s="1">
        <v>0.32769179999999998</v>
      </c>
      <c r="F124" s="1">
        <v>0.1782739560236094</v>
      </c>
      <c r="G124" s="1">
        <v>0.17808819820845589</v>
      </c>
      <c r="H124" s="1">
        <v>0.25288323267184354</v>
      </c>
      <c r="I124" s="1">
        <v>0.41034858575008948</v>
      </c>
      <c r="J124" s="1">
        <v>0.42223925656870609</v>
      </c>
      <c r="K124" s="1">
        <v>0.30440914771637778</v>
      </c>
      <c r="L124" s="1">
        <v>6.511524916114142E-2</v>
      </c>
      <c r="M124" s="1">
        <v>0.47078043098427491</v>
      </c>
      <c r="N124" s="6">
        <v>0.23423429622651851</v>
      </c>
      <c r="O124" s="6">
        <v>0.41510485407753611</v>
      </c>
      <c r="P124" s="6">
        <v>0.28009108833803331</v>
      </c>
      <c r="Q124" s="6">
        <f t="shared" si="6"/>
        <v>0.32033955700038003</v>
      </c>
      <c r="R124" s="6">
        <f t="shared" si="7"/>
        <v>123</v>
      </c>
    </row>
    <row r="125" spans="1:18" x14ac:dyDescent="0.2">
      <c r="A125" s="2" t="s">
        <v>142</v>
      </c>
      <c r="B125" s="2" t="s">
        <v>110</v>
      </c>
      <c r="C125" s="2" t="s">
        <v>143</v>
      </c>
      <c r="D125" s="9" t="s">
        <v>311</v>
      </c>
      <c r="E125" s="1">
        <v>0.42016580999999997</v>
      </c>
      <c r="F125" s="1">
        <v>0.48972873774482129</v>
      </c>
      <c r="G125" s="1">
        <v>0.22703840283622484</v>
      </c>
      <c r="H125" s="1">
        <v>0.29721599079666372</v>
      </c>
      <c r="I125" s="1">
        <v>0.47213572929171671</v>
      </c>
      <c r="J125" s="1">
        <v>8.0220068906115424E-2</v>
      </c>
      <c r="K125" s="1">
        <v>0.4341690924735907</v>
      </c>
      <c r="L125" s="1">
        <v>9.0331476601084801E-2</v>
      </c>
      <c r="M125" s="1">
        <v>0.28712871287128711</v>
      </c>
      <c r="N125" s="6">
        <v>0.35853723510803404</v>
      </c>
      <c r="O125" s="6">
        <v>0.31536946513747616</v>
      </c>
      <c r="P125" s="6">
        <v>0.27052822486441208</v>
      </c>
      <c r="Q125" s="6">
        <f t="shared" si="6"/>
        <v>0.3148674240467243</v>
      </c>
      <c r="R125" s="6">
        <f t="shared" si="7"/>
        <v>124</v>
      </c>
    </row>
    <row r="126" spans="1:18" x14ac:dyDescent="0.2">
      <c r="A126" s="2" t="s">
        <v>231</v>
      </c>
      <c r="B126" s="2" t="s">
        <v>114</v>
      </c>
      <c r="C126" s="2" t="s">
        <v>184</v>
      </c>
      <c r="D126" s="9" t="s">
        <v>311</v>
      </c>
      <c r="E126" s="1">
        <v>0.47119386000000002</v>
      </c>
      <c r="F126" s="1">
        <v>0.36907250321643104</v>
      </c>
      <c r="G126" s="1">
        <v>0.27824962650951485</v>
      </c>
      <c r="H126" s="1">
        <v>0.40800977854472253</v>
      </c>
      <c r="I126" s="1">
        <v>0.35501492807649371</v>
      </c>
      <c r="J126" s="1">
        <v>0.26473208903983936</v>
      </c>
      <c r="K126" s="1">
        <v>0.33678166266037335</v>
      </c>
      <c r="L126" s="1">
        <v>0.11855886475328739</v>
      </c>
      <c r="M126" s="1">
        <v>0.26237623762376239</v>
      </c>
      <c r="N126" s="6">
        <v>0.38163144157232826</v>
      </c>
      <c r="O126" s="6">
        <v>0.31890179246183198</v>
      </c>
      <c r="P126" s="6">
        <v>0.23922721296875732</v>
      </c>
      <c r="Q126" s="6">
        <f t="shared" si="6"/>
        <v>0.31381831334705845</v>
      </c>
      <c r="R126" s="6">
        <f t="shared" si="7"/>
        <v>125</v>
      </c>
    </row>
    <row r="127" spans="1:18" x14ac:dyDescent="0.2">
      <c r="A127" s="2" t="s">
        <v>261</v>
      </c>
      <c r="B127" s="2" t="s">
        <v>116</v>
      </c>
      <c r="C127" s="2" t="s">
        <v>117</v>
      </c>
      <c r="D127" s="9" t="s">
        <v>311</v>
      </c>
      <c r="E127" s="1">
        <v>0.64139239999999997</v>
      </c>
      <c r="F127" s="1">
        <v>0.42120191070146362</v>
      </c>
      <c r="G127" s="1">
        <v>0.3782088926520365</v>
      </c>
      <c r="H127" s="1">
        <v>0.37548029910842678</v>
      </c>
      <c r="I127" s="1">
        <v>0.30430897358943576</v>
      </c>
      <c r="J127" s="1">
        <v>3.3560292850990527E-2</v>
      </c>
      <c r="K127" s="1">
        <v>0.46953552662895226</v>
      </c>
      <c r="L127" s="1">
        <v>0.12403184662279473</v>
      </c>
      <c r="M127" s="1">
        <v>0.39603960396039606</v>
      </c>
      <c r="N127" s="6">
        <v>0.45407087460732515</v>
      </c>
      <c r="O127" s="6">
        <v>0.19600950129405767</v>
      </c>
      <c r="P127" s="6">
        <v>0.32985279576713666</v>
      </c>
      <c r="Q127" s="6">
        <f t="shared" si="6"/>
        <v>0.31358090162996161</v>
      </c>
      <c r="R127" s="6">
        <f t="shared" si="7"/>
        <v>126</v>
      </c>
    </row>
    <row r="128" spans="1:18" x14ac:dyDescent="0.2">
      <c r="A128" s="2" t="s">
        <v>206</v>
      </c>
      <c r="B128" s="2" t="s">
        <v>116</v>
      </c>
      <c r="C128" s="2" t="s">
        <v>117</v>
      </c>
      <c r="D128" s="9" t="s">
        <v>311</v>
      </c>
      <c r="E128" s="1">
        <v>0.64689973000000001</v>
      </c>
      <c r="F128" s="1">
        <v>0.46197592317453723</v>
      </c>
      <c r="G128" s="1">
        <v>0.32444416369321449</v>
      </c>
      <c r="H128" s="1">
        <v>0.33291630716134601</v>
      </c>
      <c r="I128" s="1">
        <v>0.44185774309723896</v>
      </c>
      <c r="J128" s="1">
        <v>0</v>
      </c>
      <c r="K128" s="1">
        <v>0.42150454953223115</v>
      </c>
      <c r="L128" s="1">
        <v>9.9083295103521971E-2</v>
      </c>
      <c r="M128" s="1">
        <v>0.20792079207920791</v>
      </c>
      <c r="N128" s="6">
        <v>0.44155903064729551</v>
      </c>
      <c r="O128" s="6">
        <v>0.26511464585834338</v>
      </c>
      <c r="P128" s="6">
        <v>0.24282176250208826</v>
      </c>
      <c r="Q128" s="6">
        <f t="shared" si="6"/>
        <v>0.31136009628815248</v>
      </c>
      <c r="R128" s="6">
        <f t="shared" si="7"/>
        <v>127</v>
      </c>
    </row>
    <row r="129" spans="1:18" x14ac:dyDescent="0.2">
      <c r="A129" s="2" t="s">
        <v>135</v>
      </c>
      <c r="B129" s="2" t="s">
        <v>116</v>
      </c>
      <c r="C129" s="2" t="s">
        <v>136</v>
      </c>
      <c r="D129" s="9" t="s">
        <v>311</v>
      </c>
      <c r="E129" s="1">
        <v>0.62990106000000001</v>
      </c>
      <c r="F129" s="1">
        <v>0.55104962133699431</v>
      </c>
      <c r="G129" s="1">
        <v>0.29634855316839126</v>
      </c>
      <c r="H129" s="1">
        <v>0.57212539545585273</v>
      </c>
      <c r="I129" s="1">
        <v>0.27100090036014407</v>
      </c>
      <c r="J129" s="1">
        <v>0</v>
      </c>
      <c r="K129" s="1">
        <v>0.45380439757602387</v>
      </c>
      <c r="L129" s="1">
        <v>0.18057811413656835</v>
      </c>
      <c r="M129" s="1">
        <v>0.25742574257425743</v>
      </c>
      <c r="N129" s="6">
        <v>0.51235615704177684</v>
      </c>
      <c r="O129" s="6">
        <v>0.16260054021608644</v>
      </c>
      <c r="P129" s="6">
        <v>0.29725360354673602</v>
      </c>
      <c r="Q129" s="6">
        <f t="shared" si="6"/>
        <v>0.30792314426298845</v>
      </c>
      <c r="R129" s="6">
        <f t="shared" si="7"/>
        <v>128</v>
      </c>
    </row>
    <row r="130" spans="1:18" x14ac:dyDescent="0.2">
      <c r="A130" s="2" t="s">
        <v>150</v>
      </c>
      <c r="B130" s="2" t="s">
        <v>110</v>
      </c>
      <c r="C130" s="2" t="s">
        <v>143</v>
      </c>
      <c r="D130" s="9" t="s">
        <v>311</v>
      </c>
      <c r="E130" s="1">
        <v>0.47577220999999997</v>
      </c>
      <c r="F130" s="1">
        <v>0.4369950595428948</v>
      </c>
      <c r="G130" s="1">
        <v>0.1906292046920483</v>
      </c>
      <c r="H130" s="1">
        <v>0.29261576071325857</v>
      </c>
      <c r="I130" s="1">
        <v>0.41287402460984396</v>
      </c>
      <c r="J130" s="1">
        <v>1.7074074074074075E-2</v>
      </c>
      <c r="K130" s="1">
        <v>0.4508568133135607</v>
      </c>
      <c r="L130" s="1">
        <v>6.5659325715397301E-2</v>
      </c>
      <c r="M130" s="1">
        <v>0.48019801980198018</v>
      </c>
      <c r="N130" s="6">
        <v>0.34900305943240861</v>
      </c>
      <c r="O130" s="6">
        <v>0.25455404439553597</v>
      </c>
      <c r="P130" s="6">
        <v>0.33222264545277658</v>
      </c>
      <c r="Q130" s="6">
        <f t="shared" ref="Q130:Q161" si="8">(0.3*N130)+ (0.4*O130)+(0.3*P130)</f>
        <v>0.30618932922376996</v>
      </c>
      <c r="R130" s="6">
        <f t="shared" ref="R130:R161" si="9">RANK(Q130,$Q$2:$Q$187,0)</f>
        <v>129</v>
      </c>
    </row>
    <row r="131" spans="1:18" x14ac:dyDescent="0.2">
      <c r="A131" s="2" t="s">
        <v>263</v>
      </c>
      <c r="B131" s="2" t="s">
        <v>116</v>
      </c>
      <c r="C131" s="2" t="s">
        <v>121</v>
      </c>
      <c r="D131" s="9" t="s">
        <v>311</v>
      </c>
      <c r="E131" s="1">
        <v>0.54862529000000004</v>
      </c>
      <c r="F131" s="1">
        <v>0.37265057330075824</v>
      </c>
      <c r="G131" s="1">
        <v>0.11879274142238065</v>
      </c>
      <c r="H131" s="1">
        <v>0.35900488927236118</v>
      </c>
      <c r="I131" s="1">
        <v>0.43685399159663868</v>
      </c>
      <c r="J131" s="1">
        <v>2.1048664944013782E-2</v>
      </c>
      <c r="K131" s="1">
        <v>0.43539572691821837</v>
      </c>
      <c r="L131" s="1">
        <v>0.16045940096513212</v>
      </c>
      <c r="M131" s="1">
        <v>0.3316831683168317</v>
      </c>
      <c r="N131" s="6">
        <v>0.34976837401171312</v>
      </c>
      <c r="O131" s="6">
        <v>0.27053186093558873</v>
      </c>
      <c r="P131" s="6">
        <v>0.30916427345010417</v>
      </c>
      <c r="Q131" s="6">
        <f t="shared" si="8"/>
        <v>0.30589253861278065</v>
      </c>
      <c r="R131" s="6">
        <f t="shared" si="9"/>
        <v>130</v>
      </c>
    </row>
    <row r="132" spans="1:18" x14ac:dyDescent="0.2">
      <c r="A132" s="2" t="s">
        <v>222</v>
      </c>
      <c r="B132" s="2" t="s">
        <v>108</v>
      </c>
      <c r="C132" s="2" t="s">
        <v>108</v>
      </c>
      <c r="D132" s="9" t="s">
        <v>311</v>
      </c>
      <c r="E132" s="1">
        <v>0.40443928000000001</v>
      </c>
      <c r="F132" s="1">
        <v>0.10164375194750651</v>
      </c>
      <c r="G132" s="1">
        <v>0.29860807432523506</v>
      </c>
      <c r="H132" s="1">
        <v>0.42049611734253667</v>
      </c>
      <c r="I132" s="1">
        <v>0.13971150960384154</v>
      </c>
      <c r="J132" s="1">
        <v>0.51370499569336781</v>
      </c>
      <c r="K132" s="1">
        <v>0.30074971164936565</v>
      </c>
      <c r="L132" s="1">
        <v>8.9331280544752978E-2</v>
      </c>
      <c r="M132" s="1">
        <v>0.56930693069306926</v>
      </c>
      <c r="N132" s="6">
        <v>0.30629680468039905</v>
      </c>
      <c r="O132" s="6">
        <v>0.28930890403965204</v>
      </c>
      <c r="P132" s="6">
        <v>0.31978546176542894</v>
      </c>
      <c r="Q132" s="6">
        <f t="shared" si="8"/>
        <v>0.30354824154960919</v>
      </c>
      <c r="R132" s="6">
        <f t="shared" si="9"/>
        <v>131</v>
      </c>
    </row>
    <row r="133" spans="1:18" x14ac:dyDescent="0.2">
      <c r="A133" s="2" t="s">
        <v>165</v>
      </c>
      <c r="B133" s="2" t="s">
        <v>110</v>
      </c>
      <c r="C133" s="2" t="s">
        <v>111</v>
      </c>
      <c r="D133" s="9" t="s">
        <v>311</v>
      </c>
      <c r="E133" s="1">
        <v>0.36912941999999999</v>
      </c>
      <c r="F133" s="1">
        <v>0.44841196367364078</v>
      </c>
      <c r="G133" s="1">
        <v>0.10544646047923459</v>
      </c>
      <c r="H133" s="1">
        <v>0.15743313201035375</v>
      </c>
      <c r="I133" s="1">
        <v>0.5398968337334934</v>
      </c>
      <c r="J133" s="1">
        <v>8.3606804478897512E-2</v>
      </c>
      <c r="K133" s="1">
        <v>0.44265941670785963</v>
      </c>
      <c r="L133" s="1">
        <v>0.1335663070032464</v>
      </c>
      <c r="M133" s="1">
        <v>0.21782178217821782</v>
      </c>
      <c r="N133" s="6">
        <v>0.27010524334043828</v>
      </c>
      <c r="O133" s="6">
        <v>0.357380822031655</v>
      </c>
      <c r="P133" s="6">
        <v>0.26466722882093363</v>
      </c>
      <c r="Q133" s="6">
        <f t="shared" si="8"/>
        <v>0.30338407046107357</v>
      </c>
      <c r="R133" s="6">
        <f t="shared" si="9"/>
        <v>132</v>
      </c>
    </row>
    <row r="134" spans="1:18" x14ac:dyDescent="0.2">
      <c r="A134" s="2" t="s">
        <v>199</v>
      </c>
      <c r="B134" s="2" t="s">
        <v>116</v>
      </c>
      <c r="C134" s="2" t="s">
        <v>136</v>
      </c>
      <c r="D134" s="9" t="s">
        <v>311</v>
      </c>
      <c r="E134" s="1">
        <v>0.64807236999999995</v>
      </c>
      <c r="F134" s="1">
        <v>0.5700369631091462</v>
      </c>
      <c r="G134" s="1">
        <v>0.35909408037269031</v>
      </c>
      <c r="H134" s="1">
        <v>0.5447469082542421</v>
      </c>
      <c r="I134" s="1">
        <v>0.27582570528211281</v>
      </c>
      <c r="J134" s="1">
        <v>0</v>
      </c>
      <c r="K134" s="1">
        <v>0.45371285769209641</v>
      </c>
      <c r="L134" s="1">
        <v>0.22296726756903204</v>
      </c>
      <c r="M134" s="1">
        <v>8.4158415841584164E-2</v>
      </c>
      <c r="N134" s="6">
        <v>0.53048758042415811</v>
      </c>
      <c r="O134" s="6">
        <v>0.16549542316926769</v>
      </c>
      <c r="P134" s="6">
        <v>0.25359695199528393</v>
      </c>
      <c r="Q134" s="6">
        <f t="shared" si="8"/>
        <v>0.30142352899353969</v>
      </c>
      <c r="R134" s="6">
        <f t="shared" si="9"/>
        <v>133</v>
      </c>
    </row>
    <row r="135" spans="1:18" x14ac:dyDescent="0.2">
      <c r="A135" s="2" t="s">
        <v>205</v>
      </c>
      <c r="B135" s="2" t="s">
        <v>108</v>
      </c>
      <c r="C135" s="2" t="s">
        <v>108</v>
      </c>
      <c r="D135" s="9" t="s">
        <v>311</v>
      </c>
      <c r="E135" s="1">
        <v>0.29416690000000001</v>
      </c>
      <c r="F135" s="1">
        <v>0.25384366184227758</v>
      </c>
      <c r="G135" s="1">
        <v>0.12303746675548242</v>
      </c>
      <c r="H135" s="1">
        <v>0.27723899913718719</v>
      </c>
      <c r="I135" s="1">
        <v>0.33375847812809334</v>
      </c>
      <c r="J135" s="1">
        <v>0.28280264792364418</v>
      </c>
      <c r="K135" s="1">
        <v>0.43139280167143951</v>
      </c>
      <c r="L135" s="1">
        <v>0.14414139887909891</v>
      </c>
      <c r="M135" s="1">
        <v>0.45652591729761216</v>
      </c>
      <c r="N135" s="6">
        <v>0.23707175787210016</v>
      </c>
      <c r="O135" s="6">
        <v>0.3133761460463137</v>
      </c>
      <c r="P135" s="6">
        <v>0.34400502687602574</v>
      </c>
      <c r="Q135" s="6">
        <f t="shared" si="8"/>
        <v>0.29967349384296327</v>
      </c>
      <c r="R135" s="6">
        <f t="shared" si="9"/>
        <v>134</v>
      </c>
    </row>
    <row r="136" spans="1:18" x14ac:dyDescent="0.2">
      <c r="A136" s="2" t="s">
        <v>153</v>
      </c>
      <c r="B136" s="2" t="s">
        <v>110</v>
      </c>
      <c r="C136" s="2" t="s">
        <v>154</v>
      </c>
      <c r="D136" s="9" t="s">
        <v>311</v>
      </c>
      <c r="E136" s="1">
        <v>0.55194801999999998</v>
      </c>
      <c r="F136" s="1">
        <v>0.39926113296332588</v>
      </c>
      <c r="G136" s="1">
        <v>0.13887432137251474</v>
      </c>
      <c r="H136" s="1">
        <v>0.46139775668679894</v>
      </c>
      <c r="I136" s="1">
        <v>0.52427521008403366</v>
      </c>
      <c r="J136" s="1">
        <v>8.5370370370370374E-3</v>
      </c>
      <c r="K136" s="1">
        <v>0.32545174932718191</v>
      </c>
      <c r="L136" s="1">
        <v>8.5250736334041344E-2</v>
      </c>
      <c r="M136" s="1">
        <v>7.4257425742574254E-2</v>
      </c>
      <c r="N136" s="6">
        <v>0.38787030783562648</v>
      </c>
      <c r="O136" s="6">
        <v>0.31797994086523501</v>
      </c>
      <c r="P136" s="6">
        <v>0.16164214648802525</v>
      </c>
      <c r="Q136" s="6">
        <f t="shared" si="8"/>
        <v>0.29204571264318951</v>
      </c>
      <c r="R136" s="6">
        <f t="shared" si="9"/>
        <v>135</v>
      </c>
    </row>
    <row r="137" spans="1:18" x14ac:dyDescent="0.2">
      <c r="A137" s="2" t="s">
        <v>230</v>
      </c>
      <c r="B137" s="2" t="s">
        <v>116</v>
      </c>
      <c r="C137" s="2" t="s">
        <v>136</v>
      </c>
      <c r="D137" s="9" t="s">
        <v>311</v>
      </c>
      <c r="E137" s="1">
        <v>0.68555069999999996</v>
      </c>
      <c r="F137" s="1">
        <v>0.51695871224608525</v>
      </c>
      <c r="G137" s="1">
        <v>0.40622565435503594</v>
      </c>
      <c r="H137" s="1">
        <v>0.50006902502157036</v>
      </c>
      <c r="I137" s="1">
        <v>0.28829419267707079</v>
      </c>
      <c r="J137" s="1">
        <v>8.5370370370370374E-3</v>
      </c>
      <c r="K137" s="1">
        <v>0.26984126984126983</v>
      </c>
      <c r="L137" s="1">
        <v>0.2895939225330072</v>
      </c>
      <c r="M137" s="1">
        <v>6.9306930693069313E-2</v>
      </c>
      <c r="N137" s="6">
        <v>0.5272010230193207</v>
      </c>
      <c r="O137" s="6">
        <v>0.17639133042105729</v>
      </c>
      <c r="P137" s="6">
        <v>0.20957072456473541</v>
      </c>
      <c r="Q137" s="6">
        <f t="shared" si="8"/>
        <v>0.29158805644363978</v>
      </c>
      <c r="R137" s="6">
        <f t="shared" si="9"/>
        <v>136</v>
      </c>
    </row>
    <row r="138" spans="1:18" x14ac:dyDescent="0.2">
      <c r="A138" s="2" t="s">
        <v>292</v>
      </c>
      <c r="B138" s="2" t="s">
        <v>110</v>
      </c>
      <c r="C138" s="2" t="s">
        <v>143</v>
      </c>
      <c r="D138" s="9" t="s">
        <v>311</v>
      </c>
      <c r="E138" s="1">
        <v>0.48945656999999998</v>
      </c>
      <c r="F138" s="1">
        <v>0.33904959424125147</v>
      </c>
      <c r="G138" s="1">
        <v>0.18016866815766491</v>
      </c>
      <c r="H138" s="1">
        <v>0.3653767615760713</v>
      </c>
      <c r="I138" s="1">
        <v>0.43573491896758709</v>
      </c>
      <c r="J138" s="1">
        <v>6.7120585701981053E-2</v>
      </c>
      <c r="K138" s="1">
        <v>0.49451218395855079</v>
      </c>
      <c r="L138" s="1">
        <v>6.9307997641649591E-2</v>
      </c>
      <c r="M138" s="1">
        <v>0.14356435643564355</v>
      </c>
      <c r="N138" s="6">
        <v>0.34351289903699889</v>
      </c>
      <c r="O138" s="6">
        <v>0.28828918566134465</v>
      </c>
      <c r="P138" s="6">
        <v>0.2357780833910384</v>
      </c>
      <c r="Q138" s="6">
        <f t="shared" si="8"/>
        <v>0.28910296899294902</v>
      </c>
      <c r="R138" s="6">
        <f t="shared" si="9"/>
        <v>137</v>
      </c>
    </row>
    <row r="139" spans="1:18" x14ac:dyDescent="0.2">
      <c r="A139" s="2" t="s">
        <v>210</v>
      </c>
      <c r="B139" s="2" t="s">
        <v>75</v>
      </c>
      <c r="C139" s="2" t="s">
        <v>193</v>
      </c>
      <c r="D139" s="9" t="s">
        <v>311</v>
      </c>
      <c r="E139" s="1">
        <v>0.59180124999999995</v>
      </c>
      <c r="F139" s="1">
        <v>0.51648578376694054</v>
      </c>
      <c r="G139" s="1">
        <v>0.29243237703395619</v>
      </c>
      <c r="H139" s="1">
        <v>0.46733966062697729</v>
      </c>
      <c r="I139" s="1">
        <v>0.39196874999999998</v>
      </c>
      <c r="J139" s="1">
        <v>8.5370370370370374E-3</v>
      </c>
      <c r="K139" s="1">
        <v>0.23809523809523808</v>
      </c>
      <c r="L139" s="1">
        <v>0.12948511880021363</v>
      </c>
      <c r="M139" s="1">
        <v>0.13366336633663367</v>
      </c>
      <c r="N139" s="6">
        <v>0.46701476821726745</v>
      </c>
      <c r="O139" s="6">
        <v>0.2385960648148148</v>
      </c>
      <c r="P139" s="6">
        <v>0.16707282839790716</v>
      </c>
      <c r="Q139" s="6">
        <f t="shared" si="8"/>
        <v>0.2856647049104783</v>
      </c>
      <c r="R139" s="6">
        <f t="shared" si="9"/>
        <v>138</v>
      </c>
    </row>
    <row r="140" spans="1:18" x14ac:dyDescent="0.2">
      <c r="A140" s="2" t="s">
        <v>188</v>
      </c>
      <c r="B140" s="2" t="s">
        <v>110</v>
      </c>
      <c r="C140" s="2" t="s">
        <v>124</v>
      </c>
      <c r="D140" s="9" t="s">
        <v>311</v>
      </c>
      <c r="E140" s="1">
        <v>0.22558814999999999</v>
      </c>
      <c r="F140" s="1">
        <v>0.38417197382741392</v>
      </c>
      <c r="G140" s="1">
        <v>0.14661395771192734</v>
      </c>
      <c r="H140" s="1">
        <v>0.26522145527753815</v>
      </c>
      <c r="I140" s="1">
        <v>0.36671360754828242</v>
      </c>
      <c r="J140" s="1">
        <v>0.14853399793491306</v>
      </c>
      <c r="K140" s="1">
        <v>0.38117720991514475</v>
      </c>
      <c r="L140" s="1">
        <v>3.9540627281123369E-2</v>
      </c>
      <c r="M140" s="1">
        <v>0.5401892836342459</v>
      </c>
      <c r="N140" s="6">
        <v>0.25539888513810549</v>
      </c>
      <c r="O140" s="6">
        <v>0.27944176370293466</v>
      </c>
      <c r="P140" s="6">
        <v>0.32028935583798868</v>
      </c>
      <c r="Q140" s="6">
        <f t="shared" si="8"/>
        <v>0.28448317777400212</v>
      </c>
      <c r="R140" s="6">
        <f t="shared" si="9"/>
        <v>139</v>
      </c>
    </row>
    <row r="141" spans="1:18" x14ac:dyDescent="0.2">
      <c r="A141" s="2" t="s">
        <v>250</v>
      </c>
      <c r="B141" s="2" t="s">
        <v>110</v>
      </c>
      <c r="C141" s="2" t="s">
        <v>143</v>
      </c>
      <c r="D141" s="9" t="s">
        <v>311</v>
      </c>
      <c r="E141" s="1">
        <v>0.33162996</v>
      </c>
      <c r="F141" s="1">
        <v>0.2242330775796276</v>
      </c>
      <c r="G141" s="1">
        <v>0.16851149644040442</v>
      </c>
      <c r="H141" s="1">
        <v>0.36271067011791769</v>
      </c>
      <c r="I141" s="1">
        <v>0.3466799219687875</v>
      </c>
      <c r="J141" s="1">
        <v>0.10465546942291129</v>
      </c>
      <c r="K141" s="1">
        <v>0.39310887753794332</v>
      </c>
      <c r="L141" s="1">
        <v>7.5202393762849679E-2</v>
      </c>
      <c r="M141" s="1">
        <v>0.49504950495049505</v>
      </c>
      <c r="N141" s="6">
        <v>0.27177130000193417</v>
      </c>
      <c r="O141" s="6">
        <v>0.24987014095043703</v>
      </c>
      <c r="P141" s="6">
        <v>0.32110673943003054</v>
      </c>
      <c r="Q141" s="6">
        <f t="shared" si="8"/>
        <v>0.27781146820976421</v>
      </c>
      <c r="R141" s="6">
        <f t="shared" si="9"/>
        <v>140</v>
      </c>
    </row>
    <row r="142" spans="1:18" x14ac:dyDescent="0.2">
      <c r="A142" s="2" t="s">
        <v>169</v>
      </c>
      <c r="B142" s="2" t="s">
        <v>110</v>
      </c>
      <c r="C142" s="2" t="s">
        <v>143</v>
      </c>
      <c r="D142" s="9" t="s">
        <v>311</v>
      </c>
      <c r="E142" s="1">
        <v>0.42624089999999998</v>
      </c>
      <c r="F142" s="1">
        <v>0.28737857720254517</v>
      </c>
      <c r="G142" s="1">
        <v>0.11048474412389077</v>
      </c>
      <c r="H142" s="1">
        <v>0.207689099798677</v>
      </c>
      <c r="I142" s="1">
        <v>0.51968524909963976</v>
      </c>
      <c r="J142" s="1">
        <v>2.9585701981050819E-2</v>
      </c>
      <c r="K142" s="1">
        <v>0.3852822174621483</v>
      </c>
      <c r="L142" s="1">
        <v>0.10599074936026849</v>
      </c>
      <c r="M142" s="1">
        <v>0.11881188118811881</v>
      </c>
      <c r="N142" s="6">
        <v>0.25794833011781693</v>
      </c>
      <c r="O142" s="6">
        <v>0.32364543025220416</v>
      </c>
      <c r="P142" s="6">
        <v>0.20334838035647151</v>
      </c>
      <c r="Q142" s="6">
        <f t="shared" si="8"/>
        <v>0.2678471852431682</v>
      </c>
      <c r="R142" s="6">
        <f t="shared" si="9"/>
        <v>141</v>
      </c>
    </row>
    <row r="143" spans="1:18" x14ac:dyDescent="0.2">
      <c r="A143" s="2" t="s">
        <v>236</v>
      </c>
      <c r="B143" s="2" t="s">
        <v>110</v>
      </c>
      <c r="C143" s="2" t="s">
        <v>143</v>
      </c>
      <c r="D143" s="9" t="s">
        <v>311</v>
      </c>
      <c r="E143" s="1">
        <v>0.35260345999999998</v>
      </c>
      <c r="F143" s="1">
        <v>0.35039960575694218</v>
      </c>
      <c r="G143" s="1">
        <v>0.1215179251849661</v>
      </c>
      <c r="H143" s="1">
        <v>0.2954141501294219</v>
      </c>
      <c r="I143" s="1">
        <v>0.42123311824729892</v>
      </c>
      <c r="J143" s="1">
        <v>3.3560292850990527E-2</v>
      </c>
      <c r="K143" s="1">
        <v>0.46402482561652114</v>
      </c>
      <c r="L143" s="1">
        <v>8.84768504454847E-2</v>
      </c>
      <c r="M143" s="1">
        <v>0.16336633663366337</v>
      </c>
      <c r="N143" s="6">
        <v>0.27998378624409587</v>
      </c>
      <c r="O143" s="6">
        <v>0.26616398808877556</v>
      </c>
      <c r="P143" s="6">
        <v>0.23860685402608883</v>
      </c>
      <c r="Q143" s="6">
        <f t="shared" si="8"/>
        <v>0.26204278731656561</v>
      </c>
      <c r="R143" s="6">
        <f t="shared" si="9"/>
        <v>142</v>
      </c>
    </row>
    <row r="144" spans="1:18" x14ac:dyDescent="0.2">
      <c r="A144" s="2" t="s">
        <v>243</v>
      </c>
      <c r="B144" s="2" t="s">
        <v>110</v>
      </c>
      <c r="C144" s="2" t="s">
        <v>143</v>
      </c>
      <c r="D144" s="9" t="s">
        <v>311</v>
      </c>
      <c r="E144" s="1">
        <v>0.34647452000000001</v>
      </c>
      <c r="F144" s="1">
        <v>0.38635593870942975</v>
      </c>
      <c r="G144" s="1">
        <v>0.15336582193019332</v>
      </c>
      <c r="H144" s="1">
        <v>0.2081708369283865</v>
      </c>
      <c r="I144" s="1">
        <v>0.51083921068427363</v>
      </c>
      <c r="J144" s="1">
        <v>1.2511627906976745E-2</v>
      </c>
      <c r="K144" s="1">
        <v>0.32870141520660551</v>
      </c>
      <c r="L144" s="1">
        <v>8.3336709926559741E-2</v>
      </c>
      <c r="M144" s="1">
        <v>8.9108910891089105E-2</v>
      </c>
      <c r="N144" s="6">
        <v>0.27359178043581139</v>
      </c>
      <c r="O144" s="6">
        <v>0.31150817757335486</v>
      </c>
      <c r="P144" s="6">
        <v>0.16703774780224115</v>
      </c>
      <c r="Q144" s="6">
        <f t="shared" si="8"/>
        <v>0.25679212950075769</v>
      </c>
      <c r="R144" s="6">
        <f t="shared" si="9"/>
        <v>143</v>
      </c>
    </row>
    <row r="145" spans="1:18" x14ac:dyDescent="0.2">
      <c r="A145" s="2" t="s">
        <v>259</v>
      </c>
      <c r="B145" s="2" t="s">
        <v>110</v>
      </c>
      <c r="C145" s="2" t="s">
        <v>154</v>
      </c>
      <c r="D145" s="9" t="s">
        <v>311</v>
      </c>
      <c r="E145" s="1">
        <v>0.42678938</v>
      </c>
      <c r="F145" s="1">
        <v>0.25320520057623608</v>
      </c>
      <c r="G145" s="1">
        <v>8.8986880865788487E-2</v>
      </c>
      <c r="H145" s="1">
        <v>0.22614178889847569</v>
      </c>
      <c r="I145" s="1">
        <v>0.59734993997599051</v>
      </c>
      <c r="J145" s="1">
        <v>1.2511627906976745E-2</v>
      </c>
      <c r="K145" s="1">
        <v>0.21763149704326173</v>
      </c>
      <c r="L145" s="1">
        <v>9.8415743281623974E-2</v>
      </c>
      <c r="M145" s="1">
        <v>3.9603960396039604E-2</v>
      </c>
      <c r="N145" s="6">
        <v>0.24878081251969533</v>
      </c>
      <c r="O145" s="6">
        <v>0.36341461514838497</v>
      </c>
      <c r="P145" s="6">
        <v>0.11854280460327593</v>
      </c>
      <c r="Q145" s="6">
        <f t="shared" si="8"/>
        <v>0.25556293119624535</v>
      </c>
      <c r="R145" s="6">
        <f t="shared" si="9"/>
        <v>144</v>
      </c>
    </row>
    <row r="146" spans="1:18" x14ac:dyDescent="0.2">
      <c r="A146" s="2" t="s">
        <v>258</v>
      </c>
      <c r="B146" s="2" t="s">
        <v>310</v>
      </c>
      <c r="C146" s="2" t="s">
        <v>134</v>
      </c>
      <c r="D146" s="9" t="s">
        <v>311</v>
      </c>
      <c r="E146" s="1">
        <v>0.47381775999999998</v>
      </c>
      <c r="F146" s="1">
        <v>0.38382926069265749</v>
      </c>
      <c r="G146" s="1">
        <v>0.17952673437661146</v>
      </c>
      <c r="H146" s="1">
        <v>0.27552919183203911</v>
      </c>
      <c r="I146" s="1">
        <v>0.28420843337334933</v>
      </c>
      <c r="J146" s="1">
        <v>0.14219035314384151</v>
      </c>
      <c r="K146" s="1">
        <v>0.443675509419454</v>
      </c>
      <c r="L146" s="1">
        <v>8.3707431743085647E-2</v>
      </c>
      <c r="M146" s="1">
        <v>0.12376237623762376</v>
      </c>
      <c r="N146" s="6">
        <v>0.32817573615589912</v>
      </c>
      <c r="O146" s="6">
        <v>0.22740120128154623</v>
      </c>
      <c r="P146" s="6">
        <v>0.21703332967084257</v>
      </c>
      <c r="Q146" s="6">
        <f t="shared" si="8"/>
        <v>0.25452320026064101</v>
      </c>
      <c r="R146" s="6">
        <f t="shared" si="9"/>
        <v>145</v>
      </c>
    </row>
    <row r="147" spans="1:18" x14ac:dyDescent="0.2">
      <c r="A147" s="2" t="s">
        <v>149</v>
      </c>
      <c r="B147" s="2" t="s">
        <v>110</v>
      </c>
      <c r="C147" s="2" t="s">
        <v>143</v>
      </c>
      <c r="D147" s="9" t="s">
        <v>311</v>
      </c>
      <c r="E147" s="1">
        <v>0.52451698999999996</v>
      </c>
      <c r="F147" s="1">
        <v>0.58701370399449315</v>
      </c>
      <c r="G147" s="1">
        <v>0.31370072809127847</v>
      </c>
      <c r="H147" s="1">
        <v>0.48245326430831176</v>
      </c>
      <c r="I147" s="1">
        <v>0.14757503001200481</v>
      </c>
      <c r="J147" s="1">
        <v>2.1048664944013782E-2</v>
      </c>
      <c r="K147" s="1">
        <v>0.28042328042328041</v>
      </c>
      <c r="L147" s="1">
        <v>8.6835755961173669E-2</v>
      </c>
      <c r="M147" s="1">
        <v>0.29702970297029702</v>
      </c>
      <c r="N147" s="6">
        <v>0.47692117152888042</v>
      </c>
      <c r="O147" s="6">
        <v>9.6964483984808392E-2</v>
      </c>
      <c r="P147" s="6">
        <v>0.22141984387981539</v>
      </c>
      <c r="Q147" s="6">
        <f t="shared" si="8"/>
        <v>0.24828809821653211</v>
      </c>
      <c r="R147" s="6">
        <f t="shared" si="9"/>
        <v>146</v>
      </c>
    </row>
    <row r="148" spans="1:18" x14ac:dyDescent="0.2">
      <c r="A148" s="2" t="s">
        <v>216</v>
      </c>
      <c r="B148" s="2" t="s">
        <v>75</v>
      </c>
      <c r="C148" s="2" t="s">
        <v>193</v>
      </c>
      <c r="D148" s="9" t="s">
        <v>311</v>
      </c>
      <c r="E148" s="1">
        <v>0.54408363000000004</v>
      </c>
      <c r="F148" s="1">
        <v>0.49146794573625907</v>
      </c>
      <c r="G148" s="1">
        <v>0.28786611758017011</v>
      </c>
      <c r="H148" s="1">
        <v>0.48062553925798096</v>
      </c>
      <c r="I148" s="1">
        <v>2.8169230192076827E-2</v>
      </c>
      <c r="J148" s="1">
        <v>1.2511627906976745E-2</v>
      </c>
      <c r="K148" s="1">
        <v>0.60238278317863092</v>
      </c>
      <c r="L148" s="1">
        <v>0.10078789509307062</v>
      </c>
      <c r="M148" s="1">
        <v>0.30198019801980197</v>
      </c>
      <c r="N148" s="6">
        <v>0.45101080901629792</v>
      </c>
      <c r="O148" s="6">
        <v>2.1906189278036794E-2</v>
      </c>
      <c r="P148" s="6">
        <v>0.33502977605134554</v>
      </c>
      <c r="Q148" s="6">
        <f t="shared" si="8"/>
        <v>0.24457465123150773</v>
      </c>
      <c r="R148" s="6">
        <f t="shared" si="9"/>
        <v>147</v>
      </c>
    </row>
    <row r="149" spans="1:18" x14ac:dyDescent="0.2">
      <c r="A149" s="2" t="s">
        <v>248</v>
      </c>
      <c r="B149" s="2" t="s">
        <v>110</v>
      </c>
      <c r="C149" s="2" t="s">
        <v>143</v>
      </c>
      <c r="D149" s="9" t="s">
        <v>311</v>
      </c>
      <c r="E149" s="1">
        <v>0.37375831999999998</v>
      </c>
      <c r="F149" s="1">
        <v>0.32747830082596852</v>
      </c>
      <c r="G149" s="1">
        <v>0.13630215996377631</v>
      </c>
      <c r="H149" s="1">
        <v>0.2799453551912568</v>
      </c>
      <c r="I149" s="1">
        <v>0.49609506302521006</v>
      </c>
      <c r="J149" s="1">
        <v>0</v>
      </c>
      <c r="K149" s="1">
        <v>0.18938686585745412</v>
      </c>
      <c r="L149" s="1">
        <v>9.8171869110006721E-2</v>
      </c>
      <c r="M149" s="1">
        <v>9.9009900990099015E-2</v>
      </c>
      <c r="N149" s="6">
        <v>0.27937103306335498</v>
      </c>
      <c r="O149" s="6">
        <v>0.29765703781512604</v>
      </c>
      <c r="P149" s="6">
        <v>0.12884953884746067</v>
      </c>
      <c r="Q149" s="6">
        <f t="shared" si="8"/>
        <v>0.24152898669929512</v>
      </c>
      <c r="R149" s="6">
        <f t="shared" si="9"/>
        <v>148</v>
      </c>
    </row>
    <row r="150" spans="1:18" x14ac:dyDescent="0.2">
      <c r="A150" s="2" t="s">
        <v>212</v>
      </c>
      <c r="B150" s="2" t="s">
        <v>110</v>
      </c>
      <c r="C150" s="2" t="s">
        <v>143</v>
      </c>
      <c r="D150" s="9" t="s">
        <v>311</v>
      </c>
      <c r="E150" s="1">
        <v>0.33931755000000002</v>
      </c>
      <c r="F150" s="1">
        <v>0.23353510253480675</v>
      </c>
      <c r="G150" s="1">
        <v>0.16792569118496575</v>
      </c>
      <c r="H150" s="1">
        <v>0.21819240724762726</v>
      </c>
      <c r="I150" s="1">
        <v>0.50069965486194479</v>
      </c>
      <c r="J150" s="1">
        <v>2.9585701981050819E-2</v>
      </c>
      <c r="K150" s="1">
        <v>0.32981820179052013</v>
      </c>
      <c r="L150" s="1">
        <v>4.1963964431257897E-2</v>
      </c>
      <c r="M150" s="1">
        <v>5.9405940594059403E-2</v>
      </c>
      <c r="N150" s="6">
        <v>0.23974268737701085</v>
      </c>
      <c r="O150" s="6">
        <v>0.31225407370958719</v>
      </c>
      <c r="P150" s="6">
        <v>0.14371821531669116</v>
      </c>
      <c r="Q150" s="6">
        <f t="shared" si="8"/>
        <v>0.23993990029194548</v>
      </c>
      <c r="R150" s="6">
        <f t="shared" si="9"/>
        <v>149</v>
      </c>
    </row>
    <row r="151" spans="1:18" x14ac:dyDescent="0.2">
      <c r="A151" s="2" t="s">
        <v>262</v>
      </c>
      <c r="B151" s="2" t="s">
        <v>310</v>
      </c>
      <c r="C151" s="2" t="s">
        <v>134</v>
      </c>
      <c r="D151" s="9" t="s">
        <v>311</v>
      </c>
      <c r="E151" s="1">
        <v>0.54368839000000002</v>
      </c>
      <c r="F151" s="1">
        <v>0.37139231474414841</v>
      </c>
      <c r="G151" s="1">
        <v>0.35127160081307207</v>
      </c>
      <c r="H151" s="1">
        <v>0.30608570606844976</v>
      </c>
      <c r="I151" s="1">
        <v>7.6104816926770708E-2</v>
      </c>
      <c r="J151" s="1">
        <v>0.14675279931093888</v>
      </c>
      <c r="K151" s="1">
        <v>0.35640138408304495</v>
      </c>
      <c r="L151" s="1">
        <v>0.11453521707576444</v>
      </c>
      <c r="M151" s="1">
        <v>0.27970297029702973</v>
      </c>
      <c r="N151" s="6">
        <v>0.3931095035751927</v>
      </c>
      <c r="O151" s="6">
        <v>0.10436400988043798</v>
      </c>
      <c r="P151" s="6">
        <v>0.25020083542076327</v>
      </c>
      <c r="Q151" s="6">
        <f t="shared" si="8"/>
        <v>0.23473870565096197</v>
      </c>
      <c r="R151" s="6">
        <f t="shared" si="9"/>
        <v>150</v>
      </c>
    </row>
    <row r="152" spans="1:18" x14ac:dyDescent="0.2">
      <c r="A152" s="2" t="s">
        <v>256</v>
      </c>
      <c r="B152" s="2" t="s">
        <v>75</v>
      </c>
      <c r="C152" s="2" t="s">
        <v>146</v>
      </c>
      <c r="D152" s="9" t="s">
        <v>311</v>
      </c>
      <c r="E152" s="1">
        <v>0.43998558999999998</v>
      </c>
      <c r="F152" s="1">
        <v>0.20057787613585235</v>
      </c>
      <c r="G152" s="1">
        <v>0.17121616242705884</v>
      </c>
      <c r="H152" s="1">
        <v>0.28180615473109005</v>
      </c>
      <c r="I152" s="1">
        <v>0.1847592047345254</v>
      </c>
      <c r="J152" s="1">
        <v>0.21273382916384945</v>
      </c>
      <c r="K152" s="1">
        <v>8.8095238095238101E-2</v>
      </c>
      <c r="L152" s="1">
        <v>0.18112550497149749</v>
      </c>
      <c r="M152" s="1">
        <v>0.44908270238788583</v>
      </c>
      <c r="N152" s="6">
        <v>0.27339644519113304</v>
      </c>
      <c r="O152" s="6">
        <v>0.19594905450625502</v>
      </c>
      <c r="P152" s="6">
        <v>0.23943079186435323</v>
      </c>
      <c r="Q152" s="6">
        <f t="shared" si="8"/>
        <v>0.23222779291914791</v>
      </c>
      <c r="R152" s="6">
        <f t="shared" si="9"/>
        <v>151</v>
      </c>
    </row>
    <row r="153" spans="1:18" x14ac:dyDescent="0.2">
      <c r="A153" s="2" t="s">
        <v>204</v>
      </c>
      <c r="B153" s="2" t="s">
        <v>110</v>
      </c>
      <c r="C153" s="2" t="s">
        <v>111</v>
      </c>
      <c r="D153" s="9" t="s">
        <v>311</v>
      </c>
      <c r="E153" s="1">
        <v>0.31755562999999998</v>
      </c>
      <c r="F153" s="1">
        <v>0.44552288009682212</v>
      </c>
      <c r="G153" s="1">
        <v>9.9977490629374999E-2</v>
      </c>
      <c r="H153" s="1">
        <v>0.36768334771354616</v>
      </c>
      <c r="I153" s="1">
        <v>0.26968825030012006</v>
      </c>
      <c r="J153" s="1">
        <v>8.5370370370370374E-3</v>
      </c>
      <c r="K153" s="1">
        <v>0.40653777851009687</v>
      </c>
      <c r="L153" s="1">
        <v>0.13503994822582038</v>
      </c>
      <c r="M153" s="1">
        <v>0.17821782178217821</v>
      </c>
      <c r="N153" s="6">
        <v>0.30768483665304996</v>
      </c>
      <c r="O153" s="6">
        <v>0.16522776499488684</v>
      </c>
      <c r="P153" s="6">
        <v>0.2399177887076468</v>
      </c>
      <c r="Q153" s="6">
        <f t="shared" si="8"/>
        <v>0.23037189360616378</v>
      </c>
      <c r="R153" s="6">
        <f t="shared" si="9"/>
        <v>152</v>
      </c>
    </row>
    <row r="154" spans="1:18" x14ac:dyDescent="0.2">
      <c r="A154" s="2" t="s">
        <v>219</v>
      </c>
      <c r="B154" s="2" t="s">
        <v>110</v>
      </c>
      <c r="C154" s="2" t="s">
        <v>143</v>
      </c>
      <c r="D154" s="9" t="s">
        <v>311</v>
      </c>
      <c r="E154" s="1">
        <v>0.34474462</v>
      </c>
      <c r="F154" s="1">
        <v>0.14015357641225268</v>
      </c>
      <c r="G154" s="1">
        <v>0.14778688248200367</v>
      </c>
      <c r="H154" s="1">
        <v>0.15430831176301407</v>
      </c>
      <c r="I154" s="1">
        <v>0.48077731092436971</v>
      </c>
      <c r="J154" s="1">
        <v>3.3560292850990527E-2</v>
      </c>
      <c r="K154" s="1">
        <v>0.38354295966752716</v>
      </c>
      <c r="L154" s="1">
        <v>8.3541675085491873E-2</v>
      </c>
      <c r="M154" s="1">
        <v>3.4653465346534656E-2</v>
      </c>
      <c r="N154" s="6">
        <v>0.19674834761081034</v>
      </c>
      <c r="O154" s="6">
        <v>0.30189050369501802</v>
      </c>
      <c r="P154" s="6">
        <v>0.16723295857779025</v>
      </c>
      <c r="Q154" s="6">
        <f t="shared" si="8"/>
        <v>0.22995059333458739</v>
      </c>
      <c r="R154" s="6">
        <f t="shared" si="9"/>
        <v>153</v>
      </c>
    </row>
    <row r="155" spans="1:18" x14ac:dyDescent="0.2">
      <c r="A155" s="2" t="s">
        <v>213</v>
      </c>
      <c r="B155" s="2" t="s">
        <v>110</v>
      </c>
      <c r="C155" s="2" t="s">
        <v>143</v>
      </c>
      <c r="D155" s="9" t="s">
        <v>311</v>
      </c>
      <c r="E155" s="1">
        <v>0.34819263</v>
      </c>
      <c r="F155" s="1">
        <v>0.46158218816186991</v>
      </c>
      <c r="G155" s="1">
        <v>0.19131657606993729</v>
      </c>
      <c r="H155" s="1">
        <v>0.32115616911130285</v>
      </c>
      <c r="I155" s="1">
        <v>0.23240433673469388</v>
      </c>
      <c r="J155" s="1">
        <v>2.9585701981050819E-2</v>
      </c>
      <c r="K155" s="1">
        <v>0.37373446110470332</v>
      </c>
      <c r="L155" s="1">
        <v>4.3612992565806065E-2</v>
      </c>
      <c r="M155" s="1">
        <v>0.25247524752475248</v>
      </c>
      <c r="N155" s="6">
        <v>0.33056189066897268</v>
      </c>
      <c r="O155" s="6">
        <v>0.15127688283323665</v>
      </c>
      <c r="P155" s="6">
        <v>0.22326154638132606</v>
      </c>
      <c r="Q155" s="6">
        <f t="shared" si="8"/>
        <v>0.22665778424838429</v>
      </c>
      <c r="R155" s="6">
        <f t="shared" si="9"/>
        <v>154</v>
      </c>
    </row>
    <row r="156" spans="1:18" x14ac:dyDescent="0.2">
      <c r="A156" s="2" t="s">
        <v>265</v>
      </c>
      <c r="B156" s="2" t="s">
        <v>75</v>
      </c>
      <c r="C156" s="2" t="s">
        <v>146</v>
      </c>
      <c r="D156" s="9" t="s">
        <v>311</v>
      </c>
      <c r="E156" s="1">
        <v>0.48246401999999999</v>
      </c>
      <c r="F156" s="1">
        <v>0.50324104598599151</v>
      </c>
      <c r="G156" s="1">
        <v>0.1966413423405981</v>
      </c>
      <c r="H156" s="1">
        <v>0.5282024733966062</v>
      </c>
      <c r="I156" s="1">
        <v>0.1663452881152461</v>
      </c>
      <c r="J156" s="1">
        <v>1.2511627906976745E-2</v>
      </c>
      <c r="K156" s="1">
        <v>0.23574724007249961</v>
      </c>
      <c r="L156" s="1">
        <v>0.1839237020454092</v>
      </c>
      <c r="M156" s="1">
        <v>0.10396039603960396</v>
      </c>
      <c r="N156" s="6">
        <v>0.4276372210760464</v>
      </c>
      <c r="O156" s="6">
        <v>0.10481182403193835</v>
      </c>
      <c r="P156" s="6">
        <v>0.17453527341202968</v>
      </c>
      <c r="Q156" s="6">
        <f t="shared" si="8"/>
        <v>0.22257647795919819</v>
      </c>
      <c r="R156" s="6">
        <f t="shared" si="9"/>
        <v>155</v>
      </c>
    </row>
    <row r="157" spans="1:18" x14ac:dyDescent="0.2">
      <c r="A157" s="2" t="s">
        <v>226</v>
      </c>
      <c r="B157" s="2" t="s">
        <v>75</v>
      </c>
      <c r="C157" s="2" t="s">
        <v>193</v>
      </c>
      <c r="D157" s="9" t="s">
        <v>311</v>
      </c>
      <c r="E157" s="1">
        <v>0.49411252999999999</v>
      </c>
      <c r="F157" s="1">
        <v>0.51520212295144896</v>
      </c>
      <c r="G157" s="1">
        <v>0.21900547748808585</v>
      </c>
      <c r="H157" s="1">
        <v>0.44859792924935293</v>
      </c>
      <c r="I157" s="1">
        <v>1.690013505402161E-2</v>
      </c>
      <c r="J157" s="1">
        <v>1.2511627906976745E-2</v>
      </c>
      <c r="K157" s="1">
        <v>0.53532066421339775</v>
      </c>
      <c r="L157" s="1">
        <v>0.10224318338084444</v>
      </c>
      <c r="M157" s="1">
        <v>0.22772277227722773</v>
      </c>
      <c r="N157" s="6">
        <v>0.4192295139635715</v>
      </c>
      <c r="O157" s="6">
        <v>1.5144732195203663E-2</v>
      </c>
      <c r="P157" s="6">
        <v>0.28841061255014749</v>
      </c>
      <c r="Q157" s="6">
        <f t="shared" si="8"/>
        <v>0.21834993083219717</v>
      </c>
      <c r="R157" s="6">
        <f t="shared" si="9"/>
        <v>156</v>
      </c>
    </row>
    <row r="158" spans="1:18" x14ac:dyDescent="0.2">
      <c r="A158" s="2" t="s">
        <v>214</v>
      </c>
      <c r="B158" s="2" t="s">
        <v>110</v>
      </c>
      <c r="C158" s="2" t="s">
        <v>143</v>
      </c>
      <c r="D158" s="9" t="s">
        <v>311</v>
      </c>
      <c r="E158" s="1">
        <v>0.31904755000000001</v>
      </c>
      <c r="F158" s="1">
        <v>0.45784128217054965</v>
      </c>
      <c r="G158" s="1">
        <v>0.1832220666125807</v>
      </c>
      <c r="H158" s="1">
        <v>0.33620362381363239</v>
      </c>
      <c r="I158" s="1">
        <v>0.30788265306122448</v>
      </c>
      <c r="J158" s="1">
        <v>0</v>
      </c>
      <c r="K158" s="1">
        <v>0.23492338111715277</v>
      </c>
      <c r="L158" s="1">
        <v>6.2504950490787414E-2</v>
      </c>
      <c r="M158" s="1">
        <v>0.15841584158415842</v>
      </c>
      <c r="N158" s="6">
        <v>0.32407863128174852</v>
      </c>
      <c r="O158" s="6">
        <v>0.18472959183673468</v>
      </c>
      <c r="P158" s="6">
        <v>0.15193996579621347</v>
      </c>
      <c r="Q158" s="6">
        <f t="shared" si="8"/>
        <v>0.21669741585808247</v>
      </c>
      <c r="R158" s="6">
        <f t="shared" si="9"/>
        <v>157</v>
      </c>
    </row>
    <row r="159" spans="1:18" x14ac:dyDescent="0.2">
      <c r="A159" s="2" t="s">
        <v>207</v>
      </c>
      <c r="B159" s="2" t="s">
        <v>75</v>
      </c>
      <c r="C159" s="2" t="s">
        <v>193</v>
      </c>
      <c r="D159" s="9" t="s">
        <v>311</v>
      </c>
      <c r="E159" s="1">
        <v>0.55886575000000005</v>
      </c>
      <c r="F159" s="1">
        <v>0.51648578376694054</v>
      </c>
      <c r="G159" s="1">
        <v>0.2947467285967712</v>
      </c>
      <c r="H159" s="1">
        <v>0.30378918607995398</v>
      </c>
      <c r="I159" s="1">
        <v>2.6293855042016808E-2</v>
      </c>
      <c r="J159" s="1">
        <v>1.2511627906976745E-2</v>
      </c>
      <c r="K159" s="1">
        <v>0.51995111770198277</v>
      </c>
      <c r="L159" s="1">
        <v>0.10626147427863628</v>
      </c>
      <c r="M159" s="1">
        <v>0.16831683168316833</v>
      </c>
      <c r="N159" s="6">
        <v>0.41847186183237378</v>
      </c>
      <c r="O159" s="6">
        <v>2.0780964188000781E-2</v>
      </c>
      <c r="P159" s="6">
        <v>0.26482539920681425</v>
      </c>
      <c r="Q159" s="6">
        <f t="shared" si="8"/>
        <v>0.21330156398695671</v>
      </c>
      <c r="R159" s="6">
        <f t="shared" si="9"/>
        <v>158</v>
      </c>
    </row>
    <row r="160" spans="1:18" x14ac:dyDescent="0.2">
      <c r="A160" s="2" t="s">
        <v>239</v>
      </c>
      <c r="B160" s="2" t="s">
        <v>110</v>
      </c>
      <c r="C160" s="2" t="s">
        <v>154</v>
      </c>
      <c r="D160" s="9" t="s">
        <v>311</v>
      </c>
      <c r="E160" s="1">
        <v>0.42440620000000001</v>
      </c>
      <c r="F160" s="1">
        <v>0.36310017070317968</v>
      </c>
      <c r="G160" s="1">
        <v>9.347874477604258E-2</v>
      </c>
      <c r="H160" s="1">
        <v>0.40311331607707795</v>
      </c>
      <c r="I160" s="1">
        <v>0.32976515606242496</v>
      </c>
      <c r="J160" s="1">
        <v>0</v>
      </c>
      <c r="K160" s="1">
        <v>0.22205745043115288</v>
      </c>
      <c r="L160" s="1">
        <v>7.2694281594431517E-2</v>
      </c>
      <c r="M160" s="1">
        <v>7.4257425742574254E-2</v>
      </c>
      <c r="N160" s="6">
        <v>0.32102460831697816</v>
      </c>
      <c r="O160" s="6">
        <v>0.19785909363745496</v>
      </c>
      <c r="P160" s="6">
        <v>0.12299538360762463</v>
      </c>
      <c r="Q160" s="6">
        <f t="shared" si="8"/>
        <v>0.21234963503236284</v>
      </c>
      <c r="R160" s="6">
        <f t="shared" si="9"/>
        <v>159</v>
      </c>
    </row>
    <row r="161" spans="1:18" x14ac:dyDescent="0.2">
      <c r="A161" s="2" t="s">
        <v>242</v>
      </c>
      <c r="B161" s="2" t="s">
        <v>110</v>
      </c>
      <c r="C161" s="2" t="s">
        <v>111</v>
      </c>
      <c r="D161" s="9" t="s">
        <v>311</v>
      </c>
      <c r="E161" s="1">
        <v>0.38595334999999997</v>
      </c>
      <c r="F161" s="1">
        <v>0.32000298053170878</v>
      </c>
      <c r="G161" s="1">
        <v>0.1186657506078883</v>
      </c>
      <c r="H161" s="1">
        <v>0.38659476560253092</v>
      </c>
      <c r="I161" s="1">
        <v>0.24594500300120051</v>
      </c>
      <c r="J161" s="1">
        <v>2.1048664944013782E-2</v>
      </c>
      <c r="K161" s="1">
        <v>0.28179637868219182</v>
      </c>
      <c r="L161" s="1">
        <v>2.2449707330457348E-2</v>
      </c>
      <c r="M161" s="1">
        <v>0.27722772277227725</v>
      </c>
      <c r="N161" s="6">
        <v>0.30280421115110612</v>
      </c>
      <c r="O161" s="6">
        <v>0.15598646777832581</v>
      </c>
      <c r="P161" s="6">
        <v>0.19381504247408737</v>
      </c>
      <c r="Q161" s="6">
        <f t="shared" si="8"/>
        <v>0.21138036319888837</v>
      </c>
      <c r="R161" s="6">
        <f t="shared" si="9"/>
        <v>160</v>
      </c>
    </row>
    <row r="162" spans="1:18" x14ac:dyDescent="0.2">
      <c r="A162" s="2" t="s">
        <v>201</v>
      </c>
      <c r="B162" s="2" t="s">
        <v>110</v>
      </c>
      <c r="C162" s="2" t="s">
        <v>143</v>
      </c>
      <c r="D162" s="9" t="s">
        <v>311</v>
      </c>
      <c r="E162" s="1">
        <v>0.29514892999999998</v>
      </c>
      <c r="F162" s="1">
        <v>0.10089777227834551</v>
      </c>
      <c r="G162" s="1">
        <v>0.18390845842693943</v>
      </c>
      <c r="H162" s="1">
        <v>0.12081535806729943</v>
      </c>
      <c r="I162" s="1">
        <v>0.29981129951980789</v>
      </c>
      <c r="J162" s="1">
        <v>0.12114168819982775</v>
      </c>
      <c r="K162" s="1">
        <v>0.34294502114571324</v>
      </c>
      <c r="L162" s="1">
        <v>7.5808093151621583E-2</v>
      </c>
      <c r="M162" s="1">
        <v>0.18811881188118812</v>
      </c>
      <c r="N162" s="6">
        <v>0.17519262984735584</v>
      </c>
      <c r="O162" s="6">
        <v>0.22834345499181585</v>
      </c>
      <c r="P162" s="6">
        <v>0.20227889515888831</v>
      </c>
      <c r="Q162" s="6">
        <f t="shared" ref="Q162:Q187" si="10">(0.3*N162)+ (0.4*O162)+(0.3*P162)</f>
        <v>0.20457883949859959</v>
      </c>
      <c r="R162" s="6">
        <f t="shared" ref="R162:R187" si="11">RANK(Q162,$Q$2:$Q$187,0)</f>
        <v>161</v>
      </c>
    </row>
    <row r="163" spans="1:18" x14ac:dyDescent="0.2">
      <c r="A163" s="2" t="s">
        <v>264</v>
      </c>
      <c r="B163" s="2" t="s">
        <v>116</v>
      </c>
      <c r="C163" s="2" t="s">
        <v>136</v>
      </c>
      <c r="D163" s="9" t="s">
        <v>311</v>
      </c>
      <c r="E163" s="1">
        <v>0.52761440000000004</v>
      </c>
      <c r="F163" s="1">
        <v>6.6609803239747634E-2</v>
      </c>
      <c r="G163" s="1">
        <v>0.12910002464797701</v>
      </c>
      <c r="H163" s="1">
        <v>0.34550905953408106</v>
      </c>
      <c r="I163" s="1">
        <v>0.21851665666266504</v>
      </c>
      <c r="J163" s="1">
        <v>2.1048664944013782E-2</v>
      </c>
      <c r="K163" s="1">
        <v>0.22373720730122118</v>
      </c>
      <c r="L163" s="1">
        <v>2.1358229779030128E-2</v>
      </c>
      <c r="M163" s="1">
        <v>0.43564356435643564</v>
      </c>
      <c r="N163" s="6">
        <v>0.2672083228058052</v>
      </c>
      <c r="O163" s="6">
        <v>0.13952945997520452</v>
      </c>
      <c r="P163" s="6">
        <v>0.2269053261633649</v>
      </c>
      <c r="Q163" s="6">
        <f t="shared" si="10"/>
        <v>0.20404587868083285</v>
      </c>
      <c r="R163" s="6">
        <f t="shared" si="11"/>
        <v>162</v>
      </c>
    </row>
    <row r="164" spans="1:18" x14ac:dyDescent="0.2">
      <c r="A164" s="2" t="s">
        <v>195</v>
      </c>
      <c r="B164" s="2" t="s">
        <v>75</v>
      </c>
      <c r="C164" s="2" t="s">
        <v>193</v>
      </c>
      <c r="D164" s="9" t="s">
        <v>311</v>
      </c>
      <c r="E164" s="1">
        <v>0.50546959999999996</v>
      </c>
      <c r="F164" s="1">
        <v>0.49146794573625907</v>
      </c>
      <c r="G164" s="1">
        <v>0.29720235510209725</v>
      </c>
      <c r="H164" s="1">
        <v>0.34296807592752371</v>
      </c>
      <c r="I164" s="1">
        <v>1.4187800120048018E-3</v>
      </c>
      <c r="J164" s="1">
        <v>1.2511627906976745E-2</v>
      </c>
      <c r="K164" s="1">
        <v>0.39001940645539263</v>
      </c>
      <c r="L164" s="1">
        <v>9.1167694946366243E-2</v>
      </c>
      <c r="M164" s="1">
        <v>0.19306930693069307</v>
      </c>
      <c r="N164" s="6">
        <v>0.40927699319448907</v>
      </c>
      <c r="O164" s="6">
        <v>5.8559191699935793E-3</v>
      </c>
      <c r="P164" s="6">
        <v>0.22473876721518332</v>
      </c>
      <c r="Q164" s="6">
        <f t="shared" si="10"/>
        <v>0.19254709579089913</v>
      </c>
      <c r="R164" s="6">
        <f t="shared" si="11"/>
        <v>163</v>
      </c>
    </row>
    <row r="165" spans="1:18" x14ac:dyDescent="0.2">
      <c r="A165" s="2" t="s">
        <v>296</v>
      </c>
      <c r="B165" s="2" t="s">
        <v>114</v>
      </c>
      <c r="C165" s="2" t="s">
        <v>114</v>
      </c>
      <c r="D165" s="9" t="s">
        <v>311</v>
      </c>
      <c r="E165" s="1">
        <v>0.47843123999999998</v>
      </c>
      <c r="F165" s="1">
        <v>0.10869457227112</v>
      </c>
      <c r="G165" s="1">
        <v>0.12242397726141697</v>
      </c>
      <c r="H165" s="1">
        <v>0.36374676445211385</v>
      </c>
      <c r="I165" s="1">
        <v>0.12073754501800721</v>
      </c>
      <c r="J165" s="1">
        <v>7.5069767441860474E-2</v>
      </c>
      <c r="K165" s="1">
        <v>0.38624338624338622</v>
      </c>
      <c r="L165" s="1">
        <v>7.5206465828116659E-2</v>
      </c>
      <c r="M165" s="1">
        <v>0.24257425742574257</v>
      </c>
      <c r="N165" s="6">
        <v>0.2683241381372013</v>
      </c>
      <c r="O165" s="6">
        <v>0.10247043398754851</v>
      </c>
      <c r="P165" s="6">
        <v>0.23466149683990178</v>
      </c>
      <c r="Q165" s="6">
        <f t="shared" si="10"/>
        <v>0.19188386408815034</v>
      </c>
      <c r="R165" s="6">
        <f t="shared" si="11"/>
        <v>164</v>
      </c>
    </row>
    <row r="166" spans="1:18" x14ac:dyDescent="0.2">
      <c r="A166" s="2" t="s">
        <v>197</v>
      </c>
      <c r="B166" s="2" t="s">
        <v>110</v>
      </c>
      <c r="C166" s="2" t="s">
        <v>154</v>
      </c>
      <c r="D166" s="9" t="s">
        <v>311</v>
      </c>
      <c r="E166" s="1">
        <v>0.40490127999999997</v>
      </c>
      <c r="F166" s="1">
        <v>0.18019035888311347</v>
      </c>
      <c r="G166" s="1">
        <v>0.10330280536811709</v>
      </c>
      <c r="H166" s="1">
        <v>0.32460454414725337</v>
      </c>
      <c r="I166" s="1">
        <v>0.23462897659063625</v>
      </c>
      <c r="J166" s="1">
        <v>1.2511627906976745E-2</v>
      </c>
      <c r="K166" s="1">
        <v>0.30219604181541904</v>
      </c>
      <c r="L166" s="1">
        <v>2.9260687750268514E-2</v>
      </c>
      <c r="M166" s="1">
        <v>0.23267326732673269</v>
      </c>
      <c r="N166" s="6">
        <v>0.25324974788780819</v>
      </c>
      <c r="O166" s="6">
        <v>0.14578203711717244</v>
      </c>
      <c r="P166" s="6">
        <v>0.18803308400269794</v>
      </c>
      <c r="Q166" s="6">
        <f t="shared" si="10"/>
        <v>0.19069766441402081</v>
      </c>
      <c r="R166" s="6">
        <f t="shared" si="11"/>
        <v>165</v>
      </c>
    </row>
    <row r="167" spans="1:18" x14ac:dyDescent="0.2">
      <c r="A167" s="2" t="s">
        <v>268</v>
      </c>
      <c r="B167" s="2" t="s">
        <v>114</v>
      </c>
      <c r="C167" s="2" t="s">
        <v>114</v>
      </c>
      <c r="D167" s="9" t="s">
        <v>311</v>
      </c>
      <c r="E167" s="1">
        <v>0.62766703999999995</v>
      </c>
      <c r="F167" s="1">
        <v>0.14300822581592054</v>
      </c>
      <c r="G167" s="1">
        <v>0.1660450028827708</v>
      </c>
      <c r="H167" s="1">
        <v>0.27509059534081104</v>
      </c>
      <c r="I167" s="1">
        <v>7.3239795918367351E-2</v>
      </c>
      <c r="J167" s="1">
        <v>0.13821576227390181</v>
      </c>
      <c r="K167" s="1">
        <v>9.5238095238095233E-2</v>
      </c>
      <c r="L167" s="1">
        <v>0.1383171170265117</v>
      </c>
      <c r="M167" s="1">
        <v>0.35148514851485146</v>
      </c>
      <c r="N167" s="6">
        <v>0.30295271678157654</v>
      </c>
      <c r="O167" s="6">
        <v>9.9230182460581129E-2</v>
      </c>
      <c r="P167" s="6">
        <v>0.19500970077120527</v>
      </c>
      <c r="Q167" s="6">
        <f t="shared" si="10"/>
        <v>0.18908079825006699</v>
      </c>
      <c r="R167" s="6">
        <f t="shared" si="11"/>
        <v>166</v>
      </c>
    </row>
    <row r="168" spans="1:18" x14ac:dyDescent="0.2">
      <c r="A168" s="2" t="s">
        <v>266</v>
      </c>
      <c r="B168" s="2" t="s">
        <v>75</v>
      </c>
      <c r="C168" s="2" t="s">
        <v>193</v>
      </c>
      <c r="D168" s="9" t="s">
        <v>311</v>
      </c>
      <c r="E168" s="1">
        <v>0.46458413999999998</v>
      </c>
      <c r="F168" s="1">
        <v>0.49146794573625907</v>
      </c>
      <c r="G168" s="1">
        <v>0.21196139894903571</v>
      </c>
      <c r="H168" s="1">
        <v>0.40981880931837789</v>
      </c>
      <c r="I168" s="1">
        <v>3.0627250900360148E-3</v>
      </c>
      <c r="J168" s="1">
        <v>0</v>
      </c>
      <c r="K168" s="1">
        <v>0.39631735046959959</v>
      </c>
      <c r="L168" s="1">
        <v>0.12554675211928193</v>
      </c>
      <c r="M168" s="1">
        <v>0.17326732673267325</v>
      </c>
      <c r="N168" s="6">
        <v>0.394458074641927</v>
      </c>
      <c r="O168" s="6">
        <v>1.8376350540216088E-3</v>
      </c>
      <c r="P168" s="6">
        <v>0.23169678961721998</v>
      </c>
      <c r="Q168" s="6">
        <f t="shared" si="10"/>
        <v>0.18858151329935274</v>
      </c>
      <c r="R168" s="6">
        <f t="shared" si="11"/>
        <v>167</v>
      </c>
    </row>
    <row r="169" spans="1:18" x14ac:dyDescent="0.2">
      <c r="A169" s="2" t="s">
        <v>170</v>
      </c>
      <c r="B169" s="2" t="s">
        <v>110</v>
      </c>
      <c r="C169" s="2" t="s">
        <v>154</v>
      </c>
      <c r="D169" s="9" t="s">
        <v>311</v>
      </c>
      <c r="E169" s="1">
        <v>0.40339562000000001</v>
      </c>
      <c r="F169" s="1">
        <v>0.46854736658411067</v>
      </c>
      <c r="G169" s="1">
        <v>0.19377805878137766</v>
      </c>
      <c r="H169" s="1">
        <v>0.34861374748346274</v>
      </c>
      <c r="I169" s="1">
        <v>0.12808786014405762</v>
      </c>
      <c r="J169" s="1">
        <v>0</v>
      </c>
      <c r="K169" s="1">
        <v>0.35394811519378994</v>
      </c>
      <c r="L169" s="1">
        <v>8.1645438513538199E-2</v>
      </c>
      <c r="M169" s="1">
        <v>7.4257425742574254E-2</v>
      </c>
      <c r="N169" s="6">
        <v>0.35358369883605228</v>
      </c>
      <c r="O169" s="6">
        <v>7.6852716086434569E-2</v>
      </c>
      <c r="P169" s="6">
        <v>0.16993823130885738</v>
      </c>
      <c r="Q169" s="6">
        <f t="shared" si="10"/>
        <v>0.18779766547804672</v>
      </c>
      <c r="R169" s="6">
        <f t="shared" si="11"/>
        <v>168</v>
      </c>
    </row>
    <row r="170" spans="1:18" x14ac:dyDescent="0.2">
      <c r="A170" s="2" t="s">
        <v>238</v>
      </c>
      <c r="B170" s="2" t="s">
        <v>75</v>
      </c>
      <c r="C170" s="2" t="s">
        <v>193</v>
      </c>
      <c r="D170" s="9" t="s">
        <v>311</v>
      </c>
      <c r="E170" s="1">
        <v>0.50206247999999998</v>
      </c>
      <c r="F170" s="1">
        <v>0.49146794573625907</v>
      </c>
      <c r="G170" s="1">
        <v>0.29222811684488104</v>
      </c>
      <c r="H170" s="1">
        <v>0.38642939315501867</v>
      </c>
      <c r="I170" s="1">
        <v>6.1311487094837941E-2</v>
      </c>
      <c r="J170" s="1">
        <v>0</v>
      </c>
      <c r="K170" s="1">
        <v>0.29023635598030062</v>
      </c>
      <c r="L170" s="1">
        <v>7.5107327222369971E-2</v>
      </c>
      <c r="M170" s="1">
        <v>9.405940594059406E-2</v>
      </c>
      <c r="N170" s="6">
        <v>0.41804698269855789</v>
      </c>
      <c r="O170" s="6">
        <v>3.6786892256902765E-2</v>
      </c>
      <c r="P170" s="6">
        <v>0.15312440679166281</v>
      </c>
      <c r="Q170" s="6">
        <f t="shared" si="10"/>
        <v>0.18606617374982731</v>
      </c>
      <c r="R170" s="6">
        <f t="shared" si="11"/>
        <v>169</v>
      </c>
    </row>
    <row r="171" spans="1:18" x14ac:dyDescent="0.2">
      <c r="A171" s="2" t="s">
        <v>221</v>
      </c>
      <c r="B171" s="2" t="s">
        <v>108</v>
      </c>
      <c r="C171" s="2" t="s">
        <v>108</v>
      </c>
      <c r="D171" s="9" t="s">
        <v>311</v>
      </c>
      <c r="E171" s="1">
        <v>0.39813261999999999</v>
      </c>
      <c r="F171" s="1">
        <v>0.2717293744947773</v>
      </c>
      <c r="G171" s="1">
        <v>0.14371692779303305</v>
      </c>
      <c r="H171" s="1">
        <v>0.2524676445211389</v>
      </c>
      <c r="I171" s="1">
        <v>8.0219837935174065E-2</v>
      </c>
      <c r="J171" s="1">
        <v>7.9632213608957794E-2</v>
      </c>
      <c r="K171" s="1">
        <v>0.30647095439482985</v>
      </c>
      <c r="L171" s="1">
        <v>0.13175644349427226</v>
      </c>
      <c r="M171" s="1">
        <v>0.29207920792079206</v>
      </c>
      <c r="N171" s="6">
        <v>0.26651164285411116</v>
      </c>
      <c r="O171" s="6">
        <v>7.998478820468756E-2</v>
      </c>
      <c r="P171" s="6">
        <v>0.24342478302360393</v>
      </c>
      <c r="Q171" s="6">
        <f t="shared" si="10"/>
        <v>0.18497484304518957</v>
      </c>
      <c r="R171" s="6">
        <f t="shared" si="11"/>
        <v>170</v>
      </c>
    </row>
    <row r="172" spans="1:18" x14ac:dyDescent="0.2">
      <c r="A172" s="2" t="s">
        <v>215</v>
      </c>
      <c r="B172" s="2" t="s">
        <v>110</v>
      </c>
      <c r="C172" s="2" t="s">
        <v>124</v>
      </c>
      <c r="D172" s="9" t="s">
        <v>311</v>
      </c>
      <c r="E172" s="1">
        <v>0.24515006</v>
      </c>
      <c r="F172" s="1">
        <v>0.40650585719640348</v>
      </c>
      <c r="G172" s="1">
        <v>0.18356697783622303</v>
      </c>
      <c r="H172" s="1">
        <v>0.20866264020707503</v>
      </c>
      <c r="I172" s="1">
        <v>0.24578856542617045</v>
      </c>
      <c r="J172" s="1">
        <v>0</v>
      </c>
      <c r="K172" s="1">
        <v>0.30687372988411055</v>
      </c>
      <c r="L172" s="1">
        <v>5.3485102825277811E-2</v>
      </c>
      <c r="M172" s="1">
        <v>7.9207920792079209E-2</v>
      </c>
      <c r="N172" s="6">
        <v>0.2609713839780784</v>
      </c>
      <c r="O172" s="6">
        <v>0.14747313925570227</v>
      </c>
      <c r="P172" s="6">
        <v>0.14651181735651003</v>
      </c>
      <c r="Q172" s="6">
        <f t="shared" si="10"/>
        <v>0.18123421610265744</v>
      </c>
      <c r="R172" s="6">
        <f t="shared" si="11"/>
        <v>171</v>
      </c>
    </row>
    <row r="173" spans="1:18" x14ac:dyDescent="0.2">
      <c r="A173" s="2" t="s">
        <v>218</v>
      </c>
      <c r="B173" s="2" t="s">
        <v>110</v>
      </c>
      <c r="C173" s="2" t="s">
        <v>143</v>
      </c>
      <c r="D173" s="9" t="s">
        <v>311</v>
      </c>
      <c r="E173" s="1">
        <v>0.28802204999999997</v>
      </c>
      <c r="F173" s="1">
        <v>0.29954146100245216</v>
      </c>
      <c r="G173" s="1">
        <v>0.20940686900389957</v>
      </c>
      <c r="H173" s="1">
        <v>0.22382513661202189</v>
      </c>
      <c r="I173" s="1">
        <v>0.15686412064825933</v>
      </c>
      <c r="J173" s="1">
        <v>8.3606804478897512E-2</v>
      </c>
      <c r="K173" s="1">
        <v>0.35658446385089981</v>
      </c>
      <c r="L173" s="1">
        <v>5.6909039470851741E-2</v>
      </c>
      <c r="M173" s="1">
        <v>0.11386138613861387</v>
      </c>
      <c r="N173" s="6">
        <v>0.25519888005036589</v>
      </c>
      <c r="O173" s="6">
        <v>0.12756119418051459</v>
      </c>
      <c r="P173" s="6">
        <v>0.17577284935406651</v>
      </c>
      <c r="Q173" s="6">
        <f t="shared" si="10"/>
        <v>0.18031599649353555</v>
      </c>
      <c r="R173" s="6">
        <f t="shared" si="11"/>
        <v>172</v>
      </c>
    </row>
    <row r="174" spans="1:18" x14ac:dyDescent="0.2">
      <c r="A174" s="2" t="s">
        <v>270</v>
      </c>
      <c r="B174" s="2" t="s">
        <v>110</v>
      </c>
      <c r="C174" s="2" t="s">
        <v>154</v>
      </c>
      <c r="D174" s="9" t="s">
        <v>311</v>
      </c>
      <c r="E174" s="1">
        <v>0.19678459000000001</v>
      </c>
      <c r="F174" s="1">
        <v>0.15157810122066318</v>
      </c>
      <c r="G174" s="1">
        <v>0.10459791936981336</v>
      </c>
      <c r="H174" s="1">
        <v>7.7868852459016397E-2</v>
      </c>
      <c r="I174" s="1">
        <v>0.38679396758703477</v>
      </c>
      <c r="J174" s="1">
        <v>8.5370370370370374E-3</v>
      </c>
      <c r="K174" s="1">
        <v>0.24348236026436718</v>
      </c>
      <c r="L174" s="1">
        <v>7.2176580999192302E-2</v>
      </c>
      <c r="M174" s="1">
        <v>7.4257425742574254E-2</v>
      </c>
      <c r="N174" s="6">
        <v>0.13270736606403236</v>
      </c>
      <c r="O174" s="6">
        <v>0.23549119536703567</v>
      </c>
      <c r="P174" s="6">
        <v>0.12996374091562385</v>
      </c>
      <c r="Q174" s="6">
        <f t="shared" si="10"/>
        <v>0.17299781024071112</v>
      </c>
      <c r="R174" s="6">
        <f t="shared" si="11"/>
        <v>173</v>
      </c>
    </row>
    <row r="175" spans="1:18" x14ac:dyDescent="0.2">
      <c r="A175" s="2" t="s">
        <v>295</v>
      </c>
      <c r="B175" s="2" t="s">
        <v>110</v>
      </c>
      <c r="C175" s="2" t="s">
        <v>154</v>
      </c>
      <c r="D175" s="9" t="s">
        <v>311</v>
      </c>
      <c r="E175" s="1">
        <v>0.25654527999999999</v>
      </c>
      <c r="F175" s="1">
        <v>0.11411823678969639</v>
      </c>
      <c r="G175" s="1">
        <v>7.3988400315032454E-2</v>
      </c>
      <c r="H175" s="1">
        <v>0.26412280701754387</v>
      </c>
      <c r="I175" s="1">
        <v>0.3535706782713085</v>
      </c>
      <c r="J175" s="1">
        <v>1.2511627906976745E-2</v>
      </c>
      <c r="K175" s="1">
        <v>0.20796488530052545</v>
      </c>
      <c r="L175" s="1">
        <v>8.3484163133318759E-2</v>
      </c>
      <c r="M175" s="1">
        <v>2.4752475247524754E-2</v>
      </c>
      <c r="N175" s="6">
        <v>0.17719368127779583</v>
      </c>
      <c r="O175" s="6">
        <v>0.2171470581255758</v>
      </c>
      <c r="P175" s="6">
        <v>0.10539328919957744</v>
      </c>
      <c r="Q175" s="6">
        <f t="shared" si="10"/>
        <v>0.17163491439344231</v>
      </c>
      <c r="R175" s="6">
        <f t="shared" si="11"/>
        <v>174</v>
      </c>
    </row>
    <row r="176" spans="1:18" x14ac:dyDescent="0.2">
      <c r="A176" s="2" t="s">
        <v>255</v>
      </c>
      <c r="B176" s="2" t="s">
        <v>75</v>
      </c>
      <c r="C176" s="2" t="s">
        <v>193</v>
      </c>
      <c r="D176" s="9" t="s">
        <v>311</v>
      </c>
      <c r="E176" s="1">
        <v>0.46799127000000001</v>
      </c>
      <c r="F176" s="1">
        <v>0.34532084746451586</v>
      </c>
      <c r="G176" s="1">
        <v>0.15708759616680332</v>
      </c>
      <c r="H176" s="1">
        <v>0.29404515386827723</v>
      </c>
      <c r="I176" s="1">
        <v>2.8951080432172871E-2</v>
      </c>
      <c r="J176" s="1">
        <v>8.5370370370370374E-3</v>
      </c>
      <c r="K176" s="1">
        <v>0.39020248622324749</v>
      </c>
      <c r="L176" s="1">
        <v>8.3569004460528909E-2</v>
      </c>
      <c r="M176" s="1">
        <v>0.19801980198019803</v>
      </c>
      <c r="N176" s="6">
        <v>0.31611121575440876</v>
      </c>
      <c r="O176" s="6">
        <v>2.0785463074118538E-2</v>
      </c>
      <c r="P176" s="6">
        <v>0.22391707956850182</v>
      </c>
      <c r="Q176" s="6">
        <f t="shared" si="10"/>
        <v>0.17032267382652058</v>
      </c>
      <c r="R176" s="6">
        <f t="shared" si="11"/>
        <v>175</v>
      </c>
    </row>
    <row r="177" spans="1:18" x14ac:dyDescent="0.2">
      <c r="A177" s="2" t="s">
        <v>234</v>
      </c>
      <c r="B177" s="2" t="s">
        <v>110</v>
      </c>
      <c r="C177" s="2" t="s">
        <v>126</v>
      </c>
      <c r="D177" s="9" t="s">
        <v>311</v>
      </c>
      <c r="E177" s="1">
        <v>0.38089707</v>
      </c>
      <c r="F177" s="1">
        <v>0.28362101861929123</v>
      </c>
      <c r="G177" s="1">
        <v>0.1284690421375656</v>
      </c>
      <c r="H177" s="1">
        <v>0.40792781133160771</v>
      </c>
      <c r="I177" s="1">
        <v>2.5864345738295318E-2</v>
      </c>
      <c r="J177" s="1">
        <v>1.2511627906976745E-2</v>
      </c>
      <c r="K177" s="1">
        <v>0.46672982918657657</v>
      </c>
      <c r="L177" s="1">
        <v>8.8995378767989144E-2</v>
      </c>
      <c r="M177" s="1">
        <v>0.12871287128712872</v>
      </c>
      <c r="N177" s="6">
        <v>0.30022873609743328</v>
      </c>
      <c r="O177" s="6">
        <v>2.052325860576789E-2</v>
      </c>
      <c r="P177" s="6">
        <v>0.22813012919737224</v>
      </c>
      <c r="Q177" s="6">
        <f t="shared" si="10"/>
        <v>0.16671696303074879</v>
      </c>
      <c r="R177" s="6">
        <f t="shared" si="11"/>
        <v>176</v>
      </c>
    </row>
    <row r="178" spans="1:18" x14ac:dyDescent="0.2">
      <c r="A178" s="2" t="s">
        <v>269</v>
      </c>
      <c r="B178" s="2" t="s">
        <v>110</v>
      </c>
      <c r="C178" s="2" t="s">
        <v>154</v>
      </c>
      <c r="D178" s="9" t="s">
        <v>311</v>
      </c>
      <c r="E178" s="1">
        <v>0.27506072999999998</v>
      </c>
      <c r="F178" s="1">
        <v>8.7663195400949245E-2</v>
      </c>
      <c r="G178" s="1">
        <v>2.3126054073400654E-2</v>
      </c>
      <c r="H178" s="1">
        <v>0.15354328444060972</v>
      </c>
      <c r="I178" s="1">
        <v>0.42306460084033615</v>
      </c>
      <c r="J178" s="1">
        <v>1.2511627906976745E-2</v>
      </c>
      <c r="K178" s="1">
        <v>0.15082111275882901</v>
      </c>
      <c r="L178" s="1">
        <v>6.25389438296335E-2</v>
      </c>
      <c r="M178" s="1">
        <v>0</v>
      </c>
      <c r="N178" s="6">
        <v>0.13484831678568901</v>
      </c>
      <c r="O178" s="6">
        <v>0.25884341166699237</v>
      </c>
      <c r="P178" s="6">
        <v>7.1114783029249437E-2</v>
      </c>
      <c r="Q178" s="6">
        <f t="shared" si="10"/>
        <v>0.16532629461127848</v>
      </c>
      <c r="R178" s="6">
        <f t="shared" si="11"/>
        <v>177</v>
      </c>
    </row>
    <row r="179" spans="1:18" x14ac:dyDescent="0.2">
      <c r="A179" s="2" t="s">
        <v>247</v>
      </c>
      <c r="B179" s="2" t="s">
        <v>110</v>
      </c>
      <c r="C179" s="2" t="s">
        <v>143</v>
      </c>
      <c r="D179" s="9" t="s">
        <v>311</v>
      </c>
      <c r="E179" s="1">
        <v>0.38239627999999998</v>
      </c>
      <c r="F179" s="1">
        <v>0.40823236405840035</v>
      </c>
      <c r="G179" s="1">
        <v>0.21307626547911357</v>
      </c>
      <c r="H179" s="1">
        <v>0.29882657463330453</v>
      </c>
      <c r="I179" s="1">
        <v>0.12828931572629054</v>
      </c>
      <c r="J179" s="1">
        <v>0</v>
      </c>
      <c r="K179" s="1">
        <v>0.24902510023617291</v>
      </c>
      <c r="L179" s="1">
        <v>7.0569080839187906E-2</v>
      </c>
      <c r="M179" s="1">
        <v>3.4653465346534656E-2</v>
      </c>
      <c r="N179" s="6">
        <v>0.32563287047907502</v>
      </c>
      <c r="O179" s="6">
        <v>7.6973589435774328E-2</v>
      </c>
      <c r="P179" s="6">
        <v>0.11807400118919938</v>
      </c>
      <c r="Q179" s="6">
        <f t="shared" si="10"/>
        <v>0.16390149727479203</v>
      </c>
      <c r="R179" s="6">
        <f t="shared" si="11"/>
        <v>178</v>
      </c>
    </row>
    <row r="180" spans="1:18" x14ac:dyDescent="0.2">
      <c r="A180" s="2" t="s">
        <v>252</v>
      </c>
      <c r="B180" s="2" t="s">
        <v>75</v>
      </c>
      <c r="C180" s="2" t="s">
        <v>193</v>
      </c>
      <c r="D180" s="9" t="s">
        <v>311</v>
      </c>
      <c r="E180" s="1">
        <v>0.55432292000000005</v>
      </c>
      <c r="F180" s="1">
        <v>0.51648578376694054</v>
      </c>
      <c r="G180" s="1">
        <v>0.25075473509489865</v>
      </c>
      <c r="H180" s="1">
        <v>0.36605982168536094</v>
      </c>
      <c r="I180" s="1">
        <v>1.4231655162064826E-2</v>
      </c>
      <c r="J180" s="1">
        <v>8.5370370370370374E-3</v>
      </c>
      <c r="K180" s="1">
        <v>0.19576719576719576</v>
      </c>
      <c r="L180" s="1">
        <v>0.10793633783152332</v>
      </c>
      <c r="M180" s="1">
        <v>1.4851485148514851E-2</v>
      </c>
      <c r="N180" s="6">
        <v>0.42190581537358957</v>
      </c>
      <c r="O180" s="6">
        <v>1.1953807912053711E-2</v>
      </c>
      <c r="P180" s="6">
        <v>0.10617811593759792</v>
      </c>
      <c r="Q180" s="6">
        <f t="shared" si="10"/>
        <v>0.16320670255817771</v>
      </c>
      <c r="R180" s="6">
        <f t="shared" si="11"/>
        <v>179</v>
      </c>
    </row>
    <row r="181" spans="1:18" x14ac:dyDescent="0.2">
      <c r="A181" s="2" t="s">
        <v>293</v>
      </c>
      <c r="B181" s="2" t="s">
        <v>114</v>
      </c>
      <c r="C181" s="2" t="s">
        <v>184</v>
      </c>
      <c r="D181" s="9" t="s">
        <v>311</v>
      </c>
      <c r="E181" s="1">
        <v>0.550118</v>
      </c>
      <c r="F181" s="1">
        <v>9.1357530584319682E-2</v>
      </c>
      <c r="G181" s="1">
        <v>0.26028479603852928</v>
      </c>
      <c r="H181" s="1">
        <v>0.35907535231521426</v>
      </c>
      <c r="I181" s="1">
        <v>0.19488783013205285</v>
      </c>
      <c r="J181" s="1">
        <v>0</v>
      </c>
      <c r="K181" s="1">
        <v>2.1164021164021163E-2</v>
      </c>
      <c r="L181" s="1">
        <v>2.2694597577928789E-2</v>
      </c>
      <c r="M181" s="1">
        <v>0.10891089108910891</v>
      </c>
      <c r="N181" s="6">
        <v>0.31520891989945399</v>
      </c>
      <c r="O181" s="6">
        <v>0.11693269807923171</v>
      </c>
      <c r="P181" s="6">
        <v>5.0922352524025195E-2</v>
      </c>
      <c r="Q181" s="6">
        <f t="shared" si="10"/>
        <v>0.15661246095873643</v>
      </c>
      <c r="R181" s="6">
        <f t="shared" si="11"/>
        <v>180</v>
      </c>
    </row>
    <row r="182" spans="1:18" x14ac:dyDescent="0.2">
      <c r="A182" s="2" t="s">
        <v>267</v>
      </c>
      <c r="B182" s="2" t="s">
        <v>110</v>
      </c>
      <c r="C182" s="2" t="s">
        <v>184</v>
      </c>
      <c r="D182" s="9" t="s">
        <v>311</v>
      </c>
      <c r="E182" s="1">
        <v>0.34581664000000001</v>
      </c>
      <c r="F182" s="1">
        <v>4.740400204121261E-2</v>
      </c>
      <c r="G182" s="1">
        <v>0.17290604544785276</v>
      </c>
      <c r="H182" s="1">
        <v>0.23958872591314356</v>
      </c>
      <c r="I182" s="1">
        <v>0.11500412665066026</v>
      </c>
      <c r="J182" s="1">
        <v>6.7120585701981053E-2</v>
      </c>
      <c r="K182" s="1">
        <v>0.12119880631991357</v>
      </c>
      <c r="L182" s="1">
        <v>7.0160700939582238E-2</v>
      </c>
      <c r="M182" s="1">
        <v>0.36633663366336633</v>
      </c>
      <c r="N182" s="6">
        <v>0.20142885329417815</v>
      </c>
      <c r="O182" s="6">
        <v>9.5850710271188577E-2</v>
      </c>
      <c r="P182" s="6">
        <v>0.18589431769952902</v>
      </c>
      <c r="Q182" s="6">
        <f t="shared" si="10"/>
        <v>0.15453723540658759</v>
      </c>
      <c r="R182" s="6">
        <f t="shared" si="11"/>
        <v>181</v>
      </c>
    </row>
    <row r="183" spans="1:18" x14ac:dyDescent="0.2">
      <c r="A183" s="2" t="s">
        <v>223</v>
      </c>
      <c r="B183" s="2" t="s">
        <v>108</v>
      </c>
      <c r="C183" s="2" t="s">
        <v>108</v>
      </c>
      <c r="D183" s="9" t="s">
        <v>311</v>
      </c>
      <c r="E183" s="1">
        <v>0.10261969999999999</v>
      </c>
      <c r="F183" s="1">
        <v>4.9611458338037435E-2</v>
      </c>
      <c r="G183" s="1">
        <v>0.10387505931752471</v>
      </c>
      <c r="H183" s="1">
        <v>0.2721742881794651</v>
      </c>
      <c r="I183" s="1">
        <v>4.3030462184873948E-2</v>
      </c>
      <c r="J183" s="1">
        <v>0.24946931459031085</v>
      </c>
      <c r="K183" s="1">
        <v>0.36131002506265664</v>
      </c>
      <c r="L183" s="1">
        <v>8.6667690637782873E-4</v>
      </c>
      <c r="M183" s="1">
        <v>0.23762376237623761</v>
      </c>
      <c r="N183" s="6">
        <v>0.13207012693707113</v>
      </c>
      <c r="O183" s="6">
        <v>0.1256060031470487</v>
      </c>
      <c r="P183" s="6">
        <v>0.19992136235074476</v>
      </c>
      <c r="Q183" s="6">
        <f t="shared" si="10"/>
        <v>0.14983984804516423</v>
      </c>
      <c r="R183" s="6">
        <f t="shared" si="11"/>
        <v>182</v>
      </c>
    </row>
    <row r="184" spans="1:18" x14ac:dyDescent="0.2">
      <c r="A184" s="2" t="s">
        <v>209</v>
      </c>
      <c r="B184" s="2" t="s">
        <v>110</v>
      </c>
      <c r="C184" s="2" t="s">
        <v>126</v>
      </c>
      <c r="D184" s="9" t="s">
        <v>311</v>
      </c>
      <c r="E184" s="1">
        <v>0.35215774</v>
      </c>
      <c r="F184" s="1">
        <v>0.16074238948323899</v>
      </c>
      <c r="G184" s="1">
        <v>3.5586446076214612E-2</v>
      </c>
      <c r="H184" s="1">
        <v>0.20769916594765603</v>
      </c>
      <c r="I184" s="1">
        <v>0.23253638955582234</v>
      </c>
      <c r="J184" s="1">
        <v>1.2511627906976745E-2</v>
      </c>
      <c r="K184" s="1">
        <v>0.17335365518756524</v>
      </c>
      <c r="L184" s="1">
        <v>8.3399873924786011E-2</v>
      </c>
      <c r="M184" s="1">
        <v>4.9504950495049507E-2</v>
      </c>
      <c r="N184" s="6">
        <v>0.18904643629230355</v>
      </c>
      <c r="O184" s="6">
        <v>0.14452648489628409</v>
      </c>
      <c r="P184" s="6">
        <v>0.10208008691273075</v>
      </c>
      <c r="Q184" s="6">
        <f t="shared" si="10"/>
        <v>0.14514855092002393</v>
      </c>
      <c r="R184" s="6">
        <f t="shared" si="11"/>
        <v>183</v>
      </c>
    </row>
    <row r="185" spans="1:18" x14ac:dyDescent="0.2">
      <c r="A185" s="2" t="s">
        <v>249</v>
      </c>
      <c r="B185" s="2" t="s">
        <v>114</v>
      </c>
      <c r="C185" s="2" t="s">
        <v>114</v>
      </c>
      <c r="D185" s="9" t="s">
        <v>311</v>
      </c>
      <c r="E185" s="1">
        <v>0.30192355999999998</v>
      </c>
      <c r="F185" s="1">
        <v>2.447761665846266E-2</v>
      </c>
      <c r="G185" s="1">
        <v>0.17643309341167662</v>
      </c>
      <c r="H185" s="1">
        <v>0.29743097497842963</v>
      </c>
      <c r="I185" s="1">
        <v>9.1850990396158461E-2</v>
      </c>
      <c r="J185" s="1">
        <v>7.5069767441860474E-2</v>
      </c>
      <c r="K185" s="1"/>
      <c r="L185" s="1">
        <v>6.9215770744113711E-2</v>
      </c>
      <c r="M185" s="1">
        <v>0.35148514851485146</v>
      </c>
      <c r="N185" s="6">
        <v>0.20006631250335588</v>
      </c>
      <c r="O185" s="6">
        <v>8.5138501214439277E-2</v>
      </c>
      <c r="P185" s="6">
        <v>0.1402332918720364</v>
      </c>
      <c r="Q185" s="6">
        <f t="shared" si="10"/>
        <v>0.13614528179839339</v>
      </c>
      <c r="R185" s="6">
        <f t="shared" si="11"/>
        <v>184</v>
      </c>
    </row>
    <row r="186" spans="1:18" x14ac:dyDescent="0.2">
      <c r="A186" s="2" t="s">
        <v>235</v>
      </c>
      <c r="B186" s="2" t="s">
        <v>114</v>
      </c>
      <c r="C186" s="2" t="s">
        <v>114</v>
      </c>
      <c r="D186" s="9" t="s">
        <v>311</v>
      </c>
      <c r="E186" s="1">
        <v>0.12789401</v>
      </c>
      <c r="F186" s="1">
        <v>2.3734177215189875E-2</v>
      </c>
      <c r="G186" s="1">
        <v>0.16049317542047878</v>
      </c>
      <c r="H186" s="1">
        <v>0.23660842680471678</v>
      </c>
      <c r="I186" s="1">
        <v>0.24885091536614648</v>
      </c>
      <c r="J186" s="1">
        <v>5.0046511627906978E-2</v>
      </c>
      <c r="K186" s="1">
        <v>1.5873015873015872E-2</v>
      </c>
      <c r="L186" s="1">
        <v>5.4797020467940813E-2</v>
      </c>
      <c r="M186" s="1">
        <v>0.19306930693069307</v>
      </c>
      <c r="N186" s="6">
        <v>0.13718244816436875</v>
      </c>
      <c r="O186" s="6">
        <v>0.16932915387085068</v>
      </c>
      <c r="P186" s="6">
        <v>8.7912338310183621E-2</v>
      </c>
      <c r="Q186" s="6">
        <f t="shared" si="10"/>
        <v>0.135260097490706</v>
      </c>
      <c r="R186" s="6">
        <f t="shared" si="11"/>
        <v>185</v>
      </c>
    </row>
    <row r="187" spans="1:18" x14ac:dyDescent="0.2">
      <c r="A187" s="2" t="s">
        <v>251</v>
      </c>
      <c r="B187" s="2" t="s">
        <v>110</v>
      </c>
      <c r="C187" s="2" t="s">
        <v>126</v>
      </c>
      <c r="D187" s="9" t="s">
        <v>311</v>
      </c>
      <c r="E187" s="1">
        <v>0.36914925999999998</v>
      </c>
      <c r="F187" s="1">
        <v>0.21588166160126807</v>
      </c>
      <c r="G187" s="1">
        <v>8.3779996957904557E-2</v>
      </c>
      <c r="H187" s="1">
        <v>0.23046160483175154</v>
      </c>
      <c r="I187" s="1">
        <v>9.6874999999999999E-3</v>
      </c>
      <c r="J187" s="1">
        <v>8.5370370370370374E-3</v>
      </c>
      <c r="K187" s="1">
        <v>0.12202266527526044</v>
      </c>
      <c r="L187" s="1">
        <v>8.3983556014168209E-2</v>
      </c>
      <c r="M187" s="1">
        <v>4.4554455445544552E-2</v>
      </c>
      <c r="N187" s="6">
        <v>0.22481813147164176</v>
      </c>
      <c r="O187" s="6">
        <v>9.2273148148148149E-3</v>
      </c>
      <c r="P187" s="6">
        <v>8.3515863359476694E-2</v>
      </c>
      <c r="Q187" s="6">
        <f t="shared" si="10"/>
        <v>9.619112437526145E-2</v>
      </c>
      <c r="R187" s="6">
        <f t="shared" si="11"/>
        <v>186</v>
      </c>
    </row>
    <row r="188" spans="1:18" x14ac:dyDescent="0.2">
      <c r="P188" s="2" t="s">
        <v>316</v>
      </c>
      <c r="Q188" s="7">
        <f>AVERAGE(Q2:Q187)</f>
        <v>0.39445879193483624</v>
      </c>
      <c r="R188" s="6"/>
    </row>
    <row r="189" spans="1:18" x14ac:dyDescent="0.2">
      <c r="P189" s="2" t="s">
        <v>317</v>
      </c>
      <c r="Q189" s="6" t="e" cm="1">
        <f t="array" ref="Q189">AVERAGEIF(D2:D187, Advanced economy, Q2:Q187)</f>
        <v>#DIV/0!</v>
      </c>
    </row>
    <row r="190" spans="1:18" x14ac:dyDescent="0.2">
      <c r="P190" s="2" t="s">
        <v>318</v>
      </c>
    </row>
  </sheetData>
  <sortState xmlns:xlrd2="http://schemas.microsoft.com/office/spreadsheetml/2017/richdata2" ref="A2:R187">
    <sortCondition ref="R1:R187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2FC5-D0C2-144F-8CB3-5765FCC4E592}">
  <dimension ref="A1:AI211"/>
  <sheetViews>
    <sheetView workbookViewId="0">
      <pane ySplit="5" topLeftCell="A6" activePane="bottomLeft" state="frozen"/>
      <selection activeCell="B1" sqref="B1"/>
      <selection pane="bottomLeft" sqref="A1:AI1"/>
    </sheetView>
  </sheetViews>
  <sheetFormatPr baseColWidth="10" defaultRowHeight="16" x14ac:dyDescent="0.2"/>
  <cols>
    <col min="1" max="1" width="8.1640625" style="2" customWidth="1"/>
    <col min="2" max="2" width="22.83203125" style="2" customWidth="1"/>
    <col min="3" max="4" width="10.83203125" style="2"/>
    <col min="5" max="5" width="9.5" style="2" customWidth="1"/>
    <col min="6" max="6" width="19.1640625" style="2" customWidth="1"/>
    <col min="7" max="8" width="10.83203125" style="2"/>
    <col min="9" max="9" width="8.5" style="2" customWidth="1"/>
    <col min="10" max="10" width="19.1640625" style="2" customWidth="1"/>
    <col min="11" max="12" width="10.83203125" style="2"/>
    <col min="13" max="13" width="8" style="2" customWidth="1"/>
    <col min="14" max="14" width="15.33203125" style="2" customWidth="1"/>
    <col min="15" max="16" width="10.83203125" style="2"/>
    <col min="17" max="17" width="8.83203125" style="2" customWidth="1"/>
    <col min="18" max="18" width="16" style="2" customWidth="1"/>
    <col min="19" max="20" width="10.83203125" style="2"/>
    <col min="21" max="21" width="8.33203125" style="2" customWidth="1"/>
    <col min="22" max="22" width="18.1640625" style="2" customWidth="1"/>
    <col min="23" max="24" width="10.83203125" style="2"/>
    <col min="25" max="25" width="8.83203125" style="2" customWidth="1"/>
    <col min="26" max="26" width="20" style="2" customWidth="1"/>
    <col min="27" max="28" width="10.83203125" style="2"/>
    <col min="29" max="29" width="8.5" style="2" customWidth="1"/>
    <col min="30" max="30" width="20.1640625" style="2" customWidth="1"/>
    <col min="31" max="32" width="10.83203125" style="2"/>
    <col min="33" max="33" width="7.1640625" style="2" customWidth="1"/>
    <col min="34" max="34" width="18.33203125" style="2" customWidth="1"/>
    <col min="35" max="16384" width="10.83203125" style="2"/>
  </cols>
  <sheetData>
    <row r="1" spans="1:35" s="17" customFormat="1" ht="21" x14ac:dyDescent="0.25">
      <c r="A1" s="57" t="s">
        <v>273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3" spans="1:35" s="20" customFormat="1" ht="17" customHeight="1" x14ac:dyDescent="0.25">
      <c r="A3" s="56" t="s">
        <v>274</v>
      </c>
      <c r="B3" s="56"/>
      <c r="C3" s="56"/>
      <c r="D3" s="19"/>
      <c r="E3" s="60" t="s">
        <v>288</v>
      </c>
      <c r="F3" s="60"/>
      <c r="G3" s="60"/>
      <c r="H3" s="19"/>
      <c r="I3" s="56" t="s">
        <v>301</v>
      </c>
      <c r="J3" s="56"/>
      <c r="K3" s="56"/>
      <c r="L3" s="19"/>
      <c r="M3" s="56" t="s">
        <v>302</v>
      </c>
      <c r="N3" s="56"/>
      <c r="O3" s="56"/>
      <c r="P3" s="19"/>
      <c r="Q3" s="56" t="s">
        <v>303</v>
      </c>
      <c r="R3" s="56"/>
      <c r="S3" s="56"/>
      <c r="T3" s="19"/>
      <c r="U3" s="56" t="s">
        <v>275</v>
      </c>
      <c r="V3" s="56"/>
      <c r="W3" s="56"/>
      <c r="X3" s="19"/>
      <c r="Y3" s="56" t="s">
        <v>276</v>
      </c>
      <c r="Z3" s="56"/>
      <c r="AA3" s="56"/>
      <c r="AB3" s="19"/>
      <c r="AC3" s="56" t="s">
        <v>277</v>
      </c>
      <c r="AD3" s="56"/>
      <c r="AE3" s="56"/>
      <c r="AF3" s="19"/>
      <c r="AG3" s="56" t="s">
        <v>278</v>
      </c>
      <c r="AH3" s="56"/>
      <c r="AI3" s="56"/>
    </row>
    <row r="4" spans="1:35" ht="6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</row>
    <row r="5" spans="1:35" s="8" customFormat="1" x14ac:dyDescent="0.2">
      <c r="A5" s="18" t="s">
        <v>279</v>
      </c>
      <c r="B5" s="18" t="s">
        <v>271</v>
      </c>
      <c r="C5" s="18" t="s">
        <v>280</v>
      </c>
      <c r="D5" s="18"/>
      <c r="E5" s="18" t="s">
        <v>279</v>
      </c>
      <c r="F5" s="18" t="s">
        <v>271</v>
      </c>
      <c r="G5" s="18" t="s">
        <v>280</v>
      </c>
      <c r="H5" s="18"/>
      <c r="I5" s="18" t="s">
        <v>279</v>
      </c>
      <c r="J5" s="18" t="s">
        <v>271</v>
      </c>
      <c r="K5" s="18" t="s">
        <v>280</v>
      </c>
      <c r="L5" s="18"/>
      <c r="M5" s="18" t="s">
        <v>279</v>
      </c>
      <c r="N5" s="18" t="s">
        <v>271</v>
      </c>
      <c r="O5" s="18" t="s">
        <v>280</v>
      </c>
      <c r="P5" s="18"/>
      <c r="Q5" s="18" t="s">
        <v>279</v>
      </c>
      <c r="R5" s="18" t="s">
        <v>271</v>
      </c>
      <c r="S5" s="18" t="s">
        <v>280</v>
      </c>
      <c r="T5" s="18"/>
      <c r="U5" s="18" t="s">
        <v>279</v>
      </c>
      <c r="V5" s="18" t="s">
        <v>271</v>
      </c>
      <c r="W5" s="18" t="s">
        <v>280</v>
      </c>
      <c r="X5" s="18"/>
      <c r="Y5" s="18" t="s">
        <v>279</v>
      </c>
      <c r="Z5" s="18" t="s">
        <v>271</v>
      </c>
      <c r="AA5" s="18" t="s">
        <v>280</v>
      </c>
      <c r="AB5" s="18"/>
      <c r="AC5" s="18" t="s">
        <v>279</v>
      </c>
      <c r="AD5" s="18" t="s">
        <v>271</v>
      </c>
      <c r="AE5" s="18" t="s">
        <v>280</v>
      </c>
      <c r="AF5" s="18"/>
      <c r="AG5" s="18" t="s">
        <v>279</v>
      </c>
      <c r="AH5" s="18" t="s">
        <v>271</v>
      </c>
      <c r="AI5" s="18" t="s">
        <v>280</v>
      </c>
    </row>
    <row r="6" spans="1:35" x14ac:dyDescent="0.2">
      <c r="A6" s="1">
        <v>1</v>
      </c>
      <c r="B6" s="14" t="s">
        <v>74</v>
      </c>
      <c r="C6" s="21">
        <v>0.94447736999999998</v>
      </c>
      <c r="D6" s="9"/>
      <c r="E6" s="1">
        <v>1</v>
      </c>
      <c r="F6" s="14" t="s">
        <v>90</v>
      </c>
      <c r="G6" s="21">
        <v>0.94155844</v>
      </c>
      <c r="H6" s="9"/>
      <c r="I6" s="1">
        <v>1</v>
      </c>
      <c r="J6" s="14" t="s">
        <v>80</v>
      </c>
      <c r="K6" s="21">
        <v>0.86772307000000004</v>
      </c>
      <c r="L6" s="9"/>
      <c r="M6" s="1">
        <v>1</v>
      </c>
      <c r="N6" s="14" t="s">
        <v>83</v>
      </c>
      <c r="O6" s="21">
        <v>0.90591602000000004</v>
      </c>
      <c r="P6" s="9"/>
      <c r="Q6" s="1">
        <v>1</v>
      </c>
      <c r="R6" s="14" t="s">
        <v>90</v>
      </c>
      <c r="S6" s="25">
        <v>0.80183373000000002</v>
      </c>
      <c r="T6" s="9"/>
      <c r="U6" s="1">
        <v>1</v>
      </c>
      <c r="V6" s="14" t="s">
        <v>93</v>
      </c>
      <c r="W6" s="21">
        <v>0.78122316999999997</v>
      </c>
      <c r="X6" s="9"/>
      <c r="Y6" s="1">
        <v>1</v>
      </c>
      <c r="Z6" s="14" t="s">
        <v>166</v>
      </c>
      <c r="AA6" s="29">
        <v>0.95322649999999998</v>
      </c>
      <c r="AB6" s="9"/>
      <c r="AC6" s="1">
        <v>1</v>
      </c>
      <c r="AD6" s="14" t="s">
        <v>281</v>
      </c>
      <c r="AE6" s="25">
        <v>0.75200206000000003</v>
      </c>
      <c r="AF6" s="9"/>
      <c r="AG6" s="1">
        <v>1</v>
      </c>
      <c r="AH6" s="14" t="s">
        <v>91</v>
      </c>
      <c r="AI6" s="21">
        <v>0.96010483000000002</v>
      </c>
    </row>
    <row r="7" spans="1:35" x14ac:dyDescent="0.2">
      <c r="A7" s="1">
        <v>2</v>
      </c>
      <c r="B7" s="14" t="s">
        <v>71</v>
      </c>
      <c r="C7" s="21">
        <v>0.93976335</v>
      </c>
      <c r="D7" s="9"/>
      <c r="E7" s="1">
        <v>2</v>
      </c>
      <c r="F7" s="14" t="s">
        <v>102</v>
      </c>
      <c r="G7" s="21">
        <v>0.89745671000000005</v>
      </c>
      <c r="H7" s="9"/>
      <c r="I7" s="1">
        <v>2</v>
      </c>
      <c r="J7" s="14" t="s">
        <v>83</v>
      </c>
      <c r="K7" s="21">
        <v>0.79311860999999995</v>
      </c>
      <c r="L7" s="9"/>
      <c r="M7" s="1">
        <v>2</v>
      </c>
      <c r="N7" s="14" t="s">
        <v>104</v>
      </c>
      <c r="O7" s="21">
        <v>0.89263157999999998</v>
      </c>
      <c r="P7" s="9"/>
      <c r="Q7" s="1">
        <v>2</v>
      </c>
      <c r="R7" s="14" t="s">
        <v>105</v>
      </c>
      <c r="S7" s="25">
        <v>0.76368669</v>
      </c>
      <c r="T7" s="9"/>
      <c r="U7" s="1">
        <v>2</v>
      </c>
      <c r="V7" s="14" t="s">
        <v>92</v>
      </c>
      <c r="W7" s="21">
        <v>0.74443946999999999</v>
      </c>
      <c r="X7" s="9"/>
      <c r="Y7" s="1">
        <v>2</v>
      </c>
      <c r="Z7" s="14" t="s">
        <v>74</v>
      </c>
      <c r="AA7" s="29">
        <v>0.93694917</v>
      </c>
      <c r="AB7" s="9"/>
      <c r="AC7" s="1">
        <v>2</v>
      </c>
      <c r="AD7" s="14" t="s">
        <v>102</v>
      </c>
      <c r="AE7" s="25">
        <v>0.63039593000000005</v>
      </c>
      <c r="AF7" s="9"/>
      <c r="AG7" s="1">
        <v>2</v>
      </c>
      <c r="AH7" s="14" t="s">
        <v>77</v>
      </c>
      <c r="AI7" s="21">
        <v>0.93726849000000001</v>
      </c>
    </row>
    <row r="8" spans="1:35" x14ac:dyDescent="0.2">
      <c r="A8" s="1">
        <v>3</v>
      </c>
      <c r="B8" s="14" t="s">
        <v>79</v>
      </c>
      <c r="C8" s="21">
        <v>0.93041271000000003</v>
      </c>
      <c r="D8" s="9"/>
      <c r="E8" s="1">
        <v>3</v>
      </c>
      <c r="F8" s="14" t="s">
        <v>86</v>
      </c>
      <c r="G8" s="21">
        <v>0.85858270999999997</v>
      </c>
      <c r="H8" s="9"/>
      <c r="I8" s="1">
        <v>3</v>
      </c>
      <c r="J8" s="14" t="s">
        <v>79</v>
      </c>
      <c r="K8" s="21">
        <v>0.77004123000000002</v>
      </c>
      <c r="L8" s="9"/>
      <c r="M8" s="1">
        <v>3</v>
      </c>
      <c r="N8" s="14" t="s">
        <v>86</v>
      </c>
      <c r="O8" s="21">
        <v>0.85486483000000002</v>
      </c>
      <c r="P8" s="9"/>
      <c r="Q8" s="1">
        <v>3</v>
      </c>
      <c r="R8" s="14" t="s">
        <v>85</v>
      </c>
      <c r="S8" s="25">
        <v>0.75714793000000002</v>
      </c>
      <c r="T8" s="9"/>
      <c r="U8" s="1">
        <v>3</v>
      </c>
      <c r="V8" s="14" t="s">
        <v>89</v>
      </c>
      <c r="W8" s="21">
        <v>0.74271427999999995</v>
      </c>
      <c r="X8" s="9"/>
      <c r="Y8" s="1">
        <v>3</v>
      </c>
      <c r="Z8" s="14" t="s">
        <v>86</v>
      </c>
      <c r="AA8" s="29">
        <v>0.91688384999999994</v>
      </c>
      <c r="AB8" s="9"/>
      <c r="AC8" s="1">
        <v>3</v>
      </c>
      <c r="AD8" s="14" t="s">
        <v>81</v>
      </c>
      <c r="AE8" s="25">
        <v>0.60451259999999996</v>
      </c>
      <c r="AF8" s="9"/>
      <c r="AG8" s="1">
        <v>3</v>
      </c>
      <c r="AH8" s="14" t="s">
        <v>74</v>
      </c>
      <c r="AI8" s="21">
        <v>0.92599010000000004</v>
      </c>
    </row>
    <row r="9" spans="1:35" x14ac:dyDescent="0.2">
      <c r="A9" s="1">
        <v>4</v>
      </c>
      <c r="B9" s="14" t="s">
        <v>88</v>
      </c>
      <c r="C9" s="21">
        <v>0.92718741999999998</v>
      </c>
      <c r="D9" s="9"/>
      <c r="E9" s="1">
        <v>4</v>
      </c>
      <c r="F9" s="14" t="s">
        <v>83</v>
      </c>
      <c r="G9" s="21">
        <v>0.85813801000000001</v>
      </c>
      <c r="H9" s="9"/>
      <c r="I9" s="1">
        <v>4</v>
      </c>
      <c r="J9" s="14" t="s">
        <v>91</v>
      </c>
      <c r="K9" s="21">
        <v>0.76969485999999998</v>
      </c>
      <c r="L9" s="9"/>
      <c r="M9" s="1">
        <v>4</v>
      </c>
      <c r="N9" s="14" t="s">
        <v>84</v>
      </c>
      <c r="O9" s="21">
        <v>0.85122518999999996</v>
      </c>
      <c r="P9" s="9"/>
      <c r="Q9" s="1">
        <v>4</v>
      </c>
      <c r="R9" s="14" t="s">
        <v>79</v>
      </c>
      <c r="S9" s="25">
        <v>0.69155204999999997</v>
      </c>
      <c r="T9" s="9"/>
      <c r="U9" s="1">
        <v>4</v>
      </c>
      <c r="V9" s="14" t="s">
        <v>78</v>
      </c>
      <c r="W9" s="21">
        <v>0.62836402000000002</v>
      </c>
      <c r="X9" s="9"/>
      <c r="Y9" s="1">
        <v>4</v>
      </c>
      <c r="Z9" s="14" t="s">
        <v>87</v>
      </c>
      <c r="AA9" s="29">
        <v>0.91479135</v>
      </c>
      <c r="AB9" s="9"/>
      <c r="AC9" s="1">
        <v>4</v>
      </c>
      <c r="AD9" s="14" t="s">
        <v>84</v>
      </c>
      <c r="AE9" s="25">
        <v>0.57681263999999999</v>
      </c>
      <c r="AF9" s="9"/>
      <c r="AG9" s="1">
        <v>4</v>
      </c>
      <c r="AH9" s="14" t="s">
        <v>81</v>
      </c>
      <c r="AI9" s="21">
        <v>0.91993301999999999</v>
      </c>
    </row>
    <row r="10" spans="1:35" x14ac:dyDescent="0.2">
      <c r="A10" s="1">
        <v>5</v>
      </c>
      <c r="B10" s="14" t="s">
        <v>80</v>
      </c>
      <c r="C10" s="21">
        <v>0.92220102999999998</v>
      </c>
      <c r="D10" s="9"/>
      <c r="E10" s="1">
        <v>5</v>
      </c>
      <c r="F10" s="14" t="s">
        <v>74</v>
      </c>
      <c r="G10" s="21">
        <v>0.85399687999999996</v>
      </c>
      <c r="H10" s="9"/>
      <c r="I10" s="1">
        <v>5</v>
      </c>
      <c r="J10" s="14" t="s">
        <v>94</v>
      </c>
      <c r="K10" s="21">
        <v>0.74065201999999997</v>
      </c>
      <c r="L10" s="9"/>
      <c r="M10" s="1">
        <v>5</v>
      </c>
      <c r="N10" s="14" t="s">
        <v>78</v>
      </c>
      <c r="O10" s="21">
        <v>0.82299540000000004</v>
      </c>
      <c r="P10" s="9"/>
      <c r="Q10" s="1">
        <v>5</v>
      </c>
      <c r="R10" s="14" t="s">
        <v>164</v>
      </c>
      <c r="S10" s="25">
        <v>0.68374931999999999</v>
      </c>
      <c r="T10" s="9"/>
      <c r="U10" s="1">
        <v>5</v>
      </c>
      <c r="V10" s="14" t="s">
        <v>95</v>
      </c>
      <c r="W10" s="21">
        <v>0.61888270000000001</v>
      </c>
      <c r="X10" s="9"/>
      <c r="Y10" s="1">
        <v>5</v>
      </c>
      <c r="Z10" s="14" t="s">
        <v>80</v>
      </c>
      <c r="AA10" s="29">
        <v>0.89381584999999997</v>
      </c>
      <c r="AB10" s="9"/>
      <c r="AC10" s="1">
        <v>5</v>
      </c>
      <c r="AD10" s="14" t="s">
        <v>91</v>
      </c>
      <c r="AE10" s="25">
        <v>0.56294193999999997</v>
      </c>
      <c r="AF10" s="9"/>
      <c r="AG10" s="1">
        <v>5</v>
      </c>
      <c r="AH10" s="14" t="s">
        <v>281</v>
      </c>
      <c r="AI10" s="21">
        <v>0.91356435999999996</v>
      </c>
    </row>
    <row r="11" spans="1:35" x14ac:dyDescent="0.2">
      <c r="A11" s="1">
        <v>6</v>
      </c>
      <c r="B11" s="14" t="s">
        <v>83</v>
      </c>
      <c r="C11" s="21">
        <v>0.91535447999999997</v>
      </c>
      <c r="D11" s="9"/>
      <c r="E11" s="1">
        <v>6</v>
      </c>
      <c r="F11" s="14" t="s">
        <v>166</v>
      </c>
      <c r="G11" s="21">
        <v>0.84816007999999998</v>
      </c>
      <c r="H11" s="9"/>
      <c r="I11" s="1">
        <v>6</v>
      </c>
      <c r="J11" s="14" t="s">
        <v>281</v>
      </c>
      <c r="K11" s="21">
        <v>0.73116861</v>
      </c>
      <c r="L11" s="9"/>
      <c r="M11" s="1">
        <v>6</v>
      </c>
      <c r="N11" s="14" t="s">
        <v>77</v>
      </c>
      <c r="O11" s="21">
        <v>0.81279551000000005</v>
      </c>
      <c r="P11" s="9"/>
      <c r="Q11" s="1">
        <v>6</v>
      </c>
      <c r="R11" s="14" t="s">
        <v>78</v>
      </c>
      <c r="S11" s="25">
        <v>0.67062551999999997</v>
      </c>
      <c r="T11" s="9"/>
      <c r="U11" s="1">
        <v>6</v>
      </c>
      <c r="V11" s="9" t="s">
        <v>112</v>
      </c>
      <c r="W11" s="22">
        <v>0.51174951000000002</v>
      </c>
      <c r="X11" s="9"/>
      <c r="Y11" s="1">
        <v>6</v>
      </c>
      <c r="Z11" s="9" t="s">
        <v>77</v>
      </c>
      <c r="AA11" s="30">
        <v>0.89311963000000005</v>
      </c>
      <c r="AB11" s="9"/>
      <c r="AC11" s="1">
        <v>6</v>
      </c>
      <c r="AD11" s="14" t="s">
        <v>282</v>
      </c>
      <c r="AE11" s="25">
        <v>0.55829671999999997</v>
      </c>
      <c r="AF11" s="9"/>
      <c r="AG11" s="1">
        <v>6</v>
      </c>
      <c r="AH11" s="14" t="s">
        <v>95</v>
      </c>
      <c r="AI11" s="21">
        <v>0.90979323999999995</v>
      </c>
    </row>
    <row r="12" spans="1:35" x14ac:dyDescent="0.2">
      <c r="A12" s="1">
        <v>7</v>
      </c>
      <c r="B12" s="14" t="s">
        <v>86</v>
      </c>
      <c r="C12" s="21">
        <v>0.90934864000000004</v>
      </c>
      <c r="D12" s="9"/>
      <c r="E12" s="1">
        <v>7</v>
      </c>
      <c r="F12" s="9" t="s">
        <v>77</v>
      </c>
      <c r="G12" s="22">
        <v>0.83360833000000001</v>
      </c>
      <c r="H12" s="9"/>
      <c r="I12" s="1">
        <v>7</v>
      </c>
      <c r="J12" s="9" t="s">
        <v>86</v>
      </c>
      <c r="K12" s="22">
        <v>0.72775763999999998</v>
      </c>
      <c r="L12" s="9"/>
      <c r="M12" s="1">
        <v>7</v>
      </c>
      <c r="N12" s="9" t="s">
        <v>79</v>
      </c>
      <c r="O12" s="22">
        <v>0.79371585</v>
      </c>
      <c r="P12" s="9"/>
      <c r="Q12" s="1">
        <v>7</v>
      </c>
      <c r="R12" s="9" t="s">
        <v>112</v>
      </c>
      <c r="S12" s="26">
        <v>0.64570156999999995</v>
      </c>
      <c r="T12" s="9"/>
      <c r="U12" s="1">
        <v>7</v>
      </c>
      <c r="V12" s="9" t="s">
        <v>101</v>
      </c>
      <c r="W12" s="22">
        <v>0.50145395000000004</v>
      </c>
      <c r="X12" s="9"/>
      <c r="Y12" s="1">
        <v>7</v>
      </c>
      <c r="Z12" s="9" t="s">
        <v>91</v>
      </c>
      <c r="AA12" s="30">
        <v>0.88911287999999999</v>
      </c>
      <c r="AB12" s="9"/>
      <c r="AC12" s="1">
        <v>7</v>
      </c>
      <c r="AD12" s="9" t="s">
        <v>77</v>
      </c>
      <c r="AE12" s="26">
        <v>0.53676641000000003</v>
      </c>
      <c r="AF12" s="9"/>
      <c r="AG12" s="1">
        <v>7</v>
      </c>
      <c r="AH12" s="9" t="s">
        <v>93</v>
      </c>
      <c r="AI12" s="22">
        <v>0.90619393999999998</v>
      </c>
    </row>
    <row r="13" spans="1:35" x14ac:dyDescent="0.2">
      <c r="A13" s="1">
        <v>8</v>
      </c>
      <c r="B13" s="9" t="s">
        <v>90</v>
      </c>
      <c r="C13" s="22">
        <v>0.88476951000000004</v>
      </c>
      <c r="D13" s="9"/>
      <c r="E13" s="1">
        <v>8</v>
      </c>
      <c r="F13" s="9" t="s">
        <v>87</v>
      </c>
      <c r="G13" s="22">
        <v>0.82375220999999998</v>
      </c>
      <c r="H13" s="9"/>
      <c r="I13" s="1">
        <v>8</v>
      </c>
      <c r="J13" s="9" t="s">
        <v>78</v>
      </c>
      <c r="K13" s="22">
        <v>0.72628678999999996</v>
      </c>
      <c r="L13" s="9"/>
      <c r="M13" s="1">
        <v>8</v>
      </c>
      <c r="N13" s="9" t="s">
        <v>90</v>
      </c>
      <c r="O13" s="22">
        <v>0.78276100000000004</v>
      </c>
      <c r="P13" s="9"/>
      <c r="Q13" s="1">
        <v>8</v>
      </c>
      <c r="R13" s="9" t="s">
        <v>77</v>
      </c>
      <c r="S13" s="26">
        <v>0.63427792999999999</v>
      </c>
      <c r="T13" s="9"/>
      <c r="U13" s="1">
        <v>8</v>
      </c>
      <c r="V13" s="9" t="s">
        <v>84</v>
      </c>
      <c r="W13" s="22">
        <v>0.46826685000000001</v>
      </c>
      <c r="X13" s="9"/>
      <c r="Y13" s="1">
        <v>8</v>
      </c>
      <c r="Z13" s="9" t="s">
        <v>281</v>
      </c>
      <c r="AA13" s="30">
        <v>0.88743402999999998</v>
      </c>
      <c r="AB13" s="9"/>
      <c r="AC13" s="1">
        <v>8</v>
      </c>
      <c r="AD13" s="9" t="s">
        <v>74</v>
      </c>
      <c r="AE13" s="26">
        <v>0.52507798999999999</v>
      </c>
      <c r="AF13" s="9"/>
      <c r="AG13" s="1">
        <v>8</v>
      </c>
      <c r="AH13" s="9" t="s">
        <v>92</v>
      </c>
      <c r="AI13" s="22">
        <v>0.90294118000000001</v>
      </c>
    </row>
    <row r="14" spans="1:35" x14ac:dyDescent="0.2">
      <c r="A14" s="1">
        <v>9</v>
      </c>
      <c r="B14" s="9" t="s">
        <v>81</v>
      </c>
      <c r="C14" s="22">
        <v>0.87876014000000002</v>
      </c>
      <c r="D14" s="9"/>
      <c r="E14" s="1">
        <v>9</v>
      </c>
      <c r="F14" s="9" t="s">
        <v>97</v>
      </c>
      <c r="G14" s="22">
        <v>0.82570405000000002</v>
      </c>
      <c r="H14" s="9"/>
      <c r="I14" s="1">
        <v>9</v>
      </c>
      <c r="J14" s="9" t="s">
        <v>74</v>
      </c>
      <c r="K14" s="22">
        <v>0.69646014999999994</v>
      </c>
      <c r="L14" s="9"/>
      <c r="M14" s="1">
        <v>9</v>
      </c>
      <c r="N14" s="9" t="s">
        <v>89</v>
      </c>
      <c r="O14" s="22">
        <v>0.77945787</v>
      </c>
      <c r="P14" s="9"/>
      <c r="Q14" s="1">
        <v>9</v>
      </c>
      <c r="R14" s="9" t="s">
        <v>129</v>
      </c>
      <c r="S14" s="26">
        <v>0.62699760000000004</v>
      </c>
      <c r="T14" s="9"/>
      <c r="U14" s="1">
        <v>9</v>
      </c>
      <c r="V14" s="9" t="s">
        <v>94</v>
      </c>
      <c r="W14" s="22">
        <v>0.46554476</v>
      </c>
      <c r="X14" s="9"/>
      <c r="Y14" s="1">
        <v>9</v>
      </c>
      <c r="Z14" s="9" t="s">
        <v>83</v>
      </c>
      <c r="AA14" s="30">
        <v>0.88284812999999995</v>
      </c>
      <c r="AB14" s="9"/>
      <c r="AC14" s="1">
        <v>9</v>
      </c>
      <c r="AD14" s="9" t="s">
        <v>166</v>
      </c>
      <c r="AE14" s="26">
        <v>0.51458848000000001</v>
      </c>
      <c r="AF14" s="9"/>
      <c r="AG14" s="1">
        <v>9</v>
      </c>
      <c r="AH14" s="9" t="s">
        <v>79</v>
      </c>
      <c r="AI14" s="22">
        <v>0.90038439000000003</v>
      </c>
    </row>
    <row r="15" spans="1:35" x14ac:dyDescent="0.2">
      <c r="A15" s="1">
        <v>10</v>
      </c>
      <c r="B15" s="9" t="s">
        <v>164</v>
      </c>
      <c r="C15" s="22">
        <v>0.87874359999999996</v>
      </c>
      <c r="D15" s="9"/>
      <c r="E15" s="1">
        <v>10</v>
      </c>
      <c r="F15" s="9" t="s">
        <v>79</v>
      </c>
      <c r="G15" s="22">
        <v>0.81722947999999995</v>
      </c>
      <c r="H15" s="9"/>
      <c r="I15" s="1">
        <v>10</v>
      </c>
      <c r="J15" s="9" t="s">
        <v>85</v>
      </c>
      <c r="K15" s="22">
        <v>0.69217289999999998</v>
      </c>
      <c r="L15" s="9"/>
      <c r="M15" s="1">
        <v>10</v>
      </c>
      <c r="N15" s="9" t="s">
        <v>101</v>
      </c>
      <c r="O15" s="22">
        <v>0.76144809000000002</v>
      </c>
      <c r="P15" s="9"/>
      <c r="Q15" s="1">
        <v>10</v>
      </c>
      <c r="R15" s="9" t="s">
        <v>283</v>
      </c>
      <c r="S15" s="26">
        <v>0.62557050000000003</v>
      </c>
      <c r="T15" s="9"/>
      <c r="U15" s="1">
        <v>10</v>
      </c>
      <c r="V15" s="9" t="s">
        <v>105</v>
      </c>
      <c r="W15" s="22">
        <v>0.45164315999999999</v>
      </c>
      <c r="X15" s="9"/>
      <c r="Y15" s="1">
        <v>10</v>
      </c>
      <c r="Z15" s="9" t="s">
        <v>245</v>
      </c>
      <c r="AA15" s="30">
        <v>0.88184947000000002</v>
      </c>
      <c r="AB15" s="9"/>
      <c r="AC15" s="1">
        <v>10</v>
      </c>
      <c r="AD15" s="9" t="s">
        <v>88</v>
      </c>
      <c r="AE15" s="26">
        <v>0.50403717000000003</v>
      </c>
      <c r="AF15" s="9"/>
      <c r="AG15" s="1">
        <v>10</v>
      </c>
      <c r="AH15" s="9" t="s">
        <v>71</v>
      </c>
      <c r="AI15" s="22">
        <v>0.89318869999999995</v>
      </c>
    </row>
    <row r="16" spans="1:35" x14ac:dyDescent="0.2">
      <c r="A16" s="1">
        <v>11</v>
      </c>
      <c r="B16" s="9" t="s">
        <v>91</v>
      </c>
      <c r="C16" s="22">
        <v>0.87824077</v>
      </c>
      <c r="D16" s="9"/>
      <c r="E16" s="1">
        <v>11</v>
      </c>
      <c r="F16" s="9" t="s">
        <v>81</v>
      </c>
      <c r="G16" s="22">
        <v>0.80380987000000004</v>
      </c>
      <c r="H16" s="9"/>
      <c r="I16" s="1">
        <v>11</v>
      </c>
      <c r="J16" s="9" t="s">
        <v>84</v>
      </c>
      <c r="K16" s="22">
        <v>0.69107501999999998</v>
      </c>
      <c r="L16" s="9"/>
      <c r="M16" s="1">
        <v>11</v>
      </c>
      <c r="N16" s="9" t="s">
        <v>88</v>
      </c>
      <c r="O16" s="22">
        <v>0.75746477000000001</v>
      </c>
      <c r="P16" s="9"/>
      <c r="Q16" s="1">
        <v>11</v>
      </c>
      <c r="R16" s="9" t="s">
        <v>89</v>
      </c>
      <c r="S16" s="26">
        <v>0.62028271999999995</v>
      </c>
      <c r="T16" s="9"/>
      <c r="U16" s="1">
        <v>11</v>
      </c>
      <c r="V16" s="9" t="s">
        <v>103</v>
      </c>
      <c r="W16" s="22">
        <v>0.44006110999999998</v>
      </c>
      <c r="X16" s="9"/>
      <c r="Y16" s="1">
        <v>11</v>
      </c>
      <c r="Z16" s="9" t="s">
        <v>81</v>
      </c>
      <c r="AA16" s="30">
        <v>0.87800663000000001</v>
      </c>
      <c r="AB16" s="9"/>
      <c r="AC16" s="1">
        <v>11</v>
      </c>
      <c r="AD16" s="9" t="s">
        <v>89</v>
      </c>
      <c r="AE16" s="26">
        <v>0.50210224999999997</v>
      </c>
      <c r="AF16" s="9"/>
      <c r="AG16" s="1">
        <v>11</v>
      </c>
      <c r="AH16" s="9" t="s">
        <v>246</v>
      </c>
      <c r="AI16" s="22">
        <v>0.86633663000000005</v>
      </c>
    </row>
    <row r="17" spans="1:35" x14ac:dyDescent="0.2">
      <c r="A17" s="1">
        <v>12</v>
      </c>
      <c r="B17" s="9" t="s">
        <v>87</v>
      </c>
      <c r="C17" s="22">
        <v>0.87742622999999997</v>
      </c>
      <c r="D17" s="9"/>
      <c r="E17" s="1">
        <v>12</v>
      </c>
      <c r="F17" s="9" t="s">
        <v>95</v>
      </c>
      <c r="G17" s="22">
        <v>0.79487805</v>
      </c>
      <c r="H17" s="9"/>
      <c r="I17" s="1">
        <v>12</v>
      </c>
      <c r="J17" s="9" t="s">
        <v>88</v>
      </c>
      <c r="K17" s="22">
        <v>0.68954824000000003</v>
      </c>
      <c r="L17" s="9"/>
      <c r="M17" s="1">
        <v>12</v>
      </c>
      <c r="N17" s="9" t="s">
        <v>95</v>
      </c>
      <c r="O17" s="22">
        <v>0.75589733000000003</v>
      </c>
      <c r="P17" s="9"/>
      <c r="Q17" s="1">
        <v>12</v>
      </c>
      <c r="R17" s="9" t="s">
        <v>81</v>
      </c>
      <c r="S17" s="26">
        <v>0.61073507000000005</v>
      </c>
      <c r="T17" s="9"/>
      <c r="U17" s="1">
        <v>12</v>
      </c>
      <c r="V17" s="9" t="s">
        <v>98</v>
      </c>
      <c r="W17" s="22">
        <v>0.43237574000000001</v>
      </c>
      <c r="X17" s="9"/>
      <c r="Y17" s="1">
        <v>12</v>
      </c>
      <c r="Z17" s="9" t="s">
        <v>79</v>
      </c>
      <c r="AA17" s="30">
        <v>0.87775044000000002</v>
      </c>
      <c r="AB17" s="9"/>
      <c r="AC17" s="1">
        <v>12</v>
      </c>
      <c r="AD17" s="9" t="s">
        <v>86</v>
      </c>
      <c r="AE17" s="26">
        <v>0.50125326000000003</v>
      </c>
      <c r="AF17" s="9"/>
      <c r="AG17" s="1">
        <v>12</v>
      </c>
      <c r="AH17" s="9" t="s">
        <v>78</v>
      </c>
      <c r="AI17" s="22">
        <v>0.85975829999999998</v>
      </c>
    </row>
    <row r="18" spans="1:35" x14ac:dyDescent="0.2">
      <c r="A18" s="1">
        <v>13</v>
      </c>
      <c r="B18" s="9" t="s">
        <v>94</v>
      </c>
      <c r="C18" s="22">
        <v>0.87197248000000005</v>
      </c>
      <c r="D18" s="9"/>
      <c r="E18" s="1">
        <v>13</v>
      </c>
      <c r="F18" s="9" t="s">
        <v>91</v>
      </c>
      <c r="G18" s="22">
        <v>0.78906723000000001</v>
      </c>
      <c r="H18" s="9"/>
      <c r="I18" s="1">
        <v>13</v>
      </c>
      <c r="J18" s="9" t="s">
        <v>77</v>
      </c>
      <c r="K18" s="22">
        <v>0.68687803000000003</v>
      </c>
      <c r="L18" s="9"/>
      <c r="M18" s="1">
        <v>13</v>
      </c>
      <c r="N18" s="9" t="s">
        <v>246</v>
      </c>
      <c r="O18" s="22">
        <v>0.74655161999999997</v>
      </c>
      <c r="P18" s="9"/>
      <c r="Q18" s="1">
        <v>13</v>
      </c>
      <c r="R18" s="9" t="s">
        <v>87</v>
      </c>
      <c r="S18" s="26">
        <v>0.60151456999999997</v>
      </c>
      <c r="T18" s="9"/>
      <c r="U18" s="1">
        <v>13</v>
      </c>
      <c r="V18" s="9" t="s">
        <v>282</v>
      </c>
      <c r="W18" s="22">
        <v>0.42517073999999999</v>
      </c>
      <c r="X18" s="9"/>
      <c r="Y18" s="1">
        <v>13</v>
      </c>
      <c r="Z18" s="9" t="s">
        <v>282</v>
      </c>
      <c r="AA18" s="30">
        <v>0.86852538999999995</v>
      </c>
      <c r="AB18" s="9"/>
      <c r="AC18" s="1">
        <v>13</v>
      </c>
      <c r="AD18" s="9" t="s">
        <v>78</v>
      </c>
      <c r="AE18" s="26">
        <v>0.49755754000000002</v>
      </c>
      <c r="AF18" s="9"/>
      <c r="AG18" s="1">
        <v>13</v>
      </c>
      <c r="AH18" s="9" t="s">
        <v>89</v>
      </c>
      <c r="AI18" s="22">
        <v>0.84837507000000001</v>
      </c>
    </row>
    <row r="19" spans="1:35" x14ac:dyDescent="0.2">
      <c r="A19" s="1">
        <v>14</v>
      </c>
      <c r="B19" s="9" t="s">
        <v>85</v>
      </c>
      <c r="C19" s="22">
        <v>0.86968794000000005</v>
      </c>
      <c r="D19" s="9"/>
      <c r="E19" s="1">
        <v>14</v>
      </c>
      <c r="F19" s="9" t="s">
        <v>85</v>
      </c>
      <c r="G19" s="22">
        <v>0.78475561000000005</v>
      </c>
      <c r="H19" s="9"/>
      <c r="I19" s="1">
        <v>14</v>
      </c>
      <c r="J19" s="9" t="s">
        <v>98</v>
      </c>
      <c r="K19" s="22">
        <v>0.6782823</v>
      </c>
      <c r="L19" s="9"/>
      <c r="M19" s="1">
        <v>14</v>
      </c>
      <c r="N19" s="9" t="s">
        <v>102</v>
      </c>
      <c r="O19" s="22">
        <v>0.74655161999999997</v>
      </c>
      <c r="P19" s="9"/>
      <c r="Q19" s="1">
        <v>14</v>
      </c>
      <c r="R19" s="9" t="s">
        <v>84</v>
      </c>
      <c r="S19" s="26">
        <v>0.60133862999999999</v>
      </c>
      <c r="T19" s="9"/>
      <c r="U19" s="1">
        <v>14</v>
      </c>
      <c r="V19" s="9" t="s">
        <v>77</v>
      </c>
      <c r="W19" s="22">
        <v>0.41608095</v>
      </c>
      <c r="X19" s="9"/>
      <c r="Y19" s="1">
        <v>14</v>
      </c>
      <c r="Z19" s="9" t="s">
        <v>104</v>
      </c>
      <c r="AA19" s="30">
        <v>0.8630118</v>
      </c>
      <c r="AB19" s="9"/>
      <c r="AC19" s="1">
        <v>14</v>
      </c>
      <c r="AD19" s="9" t="s">
        <v>95</v>
      </c>
      <c r="AE19" s="26">
        <v>0.49628910999999998</v>
      </c>
      <c r="AF19" s="9"/>
      <c r="AG19" s="1">
        <v>14</v>
      </c>
      <c r="AH19" s="9" t="s">
        <v>84</v>
      </c>
      <c r="AI19" s="22">
        <v>0.84654048000000004</v>
      </c>
    </row>
    <row r="20" spans="1:35" x14ac:dyDescent="0.2">
      <c r="A20" s="1">
        <v>15</v>
      </c>
      <c r="B20" s="9" t="s">
        <v>78</v>
      </c>
      <c r="C20" s="22">
        <v>0.86182420000000004</v>
      </c>
      <c r="D20" s="9"/>
      <c r="E20" s="1">
        <v>15</v>
      </c>
      <c r="F20" s="9" t="s">
        <v>80</v>
      </c>
      <c r="G20" s="22">
        <v>0.78324649000000002</v>
      </c>
      <c r="H20" s="9"/>
      <c r="I20" s="1">
        <v>15</v>
      </c>
      <c r="J20" s="9" t="s">
        <v>81</v>
      </c>
      <c r="K20" s="22">
        <v>0.67707280999999997</v>
      </c>
      <c r="L20" s="9"/>
      <c r="M20" s="1">
        <v>15</v>
      </c>
      <c r="N20" s="9" t="s">
        <v>80</v>
      </c>
      <c r="O20" s="22">
        <v>0.74523870999999997</v>
      </c>
      <c r="P20" s="9"/>
      <c r="Q20" s="1">
        <v>15</v>
      </c>
      <c r="R20" s="9" t="s">
        <v>103</v>
      </c>
      <c r="S20" s="26">
        <v>0.59649980999999996</v>
      </c>
      <c r="T20" s="9"/>
      <c r="U20" s="1">
        <v>15</v>
      </c>
      <c r="V20" s="9" t="s">
        <v>129</v>
      </c>
      <c r="W20" s="22">
        <v>0.40004979000000002</v>
      </c>
      <c r="X20" s="9"/>
      <c r="Y20" s="1">
        <v>15</v>
      </c>
      <c r="Z20" s="9" t="s">
        <v>241</v>
      </c>
      <c r="AA20" s="30">
        <v>0.84857472</v>
      </c>
      <c r="AB20" s="9"/>
      <c r="AC20" s="1">
        <v>15</v>
      </c>
      <c r="AD20" s="9" t="s">
        <v>85</v>
      </c>
      <c r="AE20" s="26">
        <v>0.47446891000000002</v>
      </c>
      <c r="AF20" s="9"/>
      <c r="AG20" s="1">
        <v>15</v>
      </c>
      <c r="AH20" s="9" t="s">
        <v>101</v>
      </c>
      <c r="AI20" s="22">
        <v>0.84443215000000005</v>
      </c>
    </row>
    <row r="21" spans="1:35" x14ac:dyDescent="0.2">
      <c r="A21" s="1">
        <v>16</v>
      </c>
      <c r="B21" s="9" t="s">
        <v>84</v>
      </c>
      <c r="C21" s="22">
        <v>0.85363484000000001</v>
      </c>
      <c r="D21" s="9"/>
      <c r="E21" s="1">
        <v>16</v>
      </c>
      <c r="F21" s="9" t="s">
        <v>71</v>
      </c>
      <c r="G21" s="22">
        <v>0.77998162000000004</v>
      </c>
      <c r="H21" s="9"/>
      <c r="I21" s="1">
        <v>16</v>
      </c>
      <c r="J21" s="9" t="s">
        <v>87</v>
      </c>
      <c r="K21" s="22">
        <v>0.67062515</v>
      </c>
      <c r="L21" s="9"/>
      <c r="M21" s="1">
        <v>16</v>
      </c>
      <c r="N21" s="9" t="s">
        <v>85</v>
      </c>
      <c r="O21" s="22">
        <v>0.74396174999999998</v>
      </c>
      <c r="P21" s="9"/>
      <c r="Q21" s="1">
        <v>16</v>
      </c>
      <c r="R21" s="9" t="s">
        <v>74</v>
      </c>
      <c r="S21" s="26">
        <v>0.58245692999999998</v>
      </c>
      <c r="T21" s="9"/>
      <c r="U21" s="1">
        <v>16</v>
      </c>
      <c r="V21" s="9" t="s">
        <v>85</v>
      </c>
      <c r="W21" s="22">
        <v>0.38788962999999999</v>
      </c>
      <c r="X21" s="9"/>
      <c r="Y21" s="1">
        <v>16</v>
      </c>
      <c r="Z21" s="9" t="s">
        <v>88</v>
      </c>
      <c r="AA21" s="30">
        <v>0.84001791000000003</v>
      </c>
      <c r="AB21" s="9"/>
      <c r="AC21" s="1">
        <v>16</v>
      </c>
      <c r="AD21" s="9" t="s">
        <v>92</v>
      </c>
      <c r="AE21" s="26">
        <v>0.47378798</v>
      </c>
      <c r="AF21" s="9"/>
      <c r="AG21" s="1">
        <v>16</v>
      </c>
      <c r="AH21" s="9" t="s">
        <v>112</v>
      </c>
      <c r="AI21" s="22">
        <v>0.83467385000000005</v>
      </c>
    </row>
    <row r="22" spans="1:35" x14ac:dyDescent="0.2">
      <c r="A22" s="1">
        <v>17</v>
      </c>
      <c r="B22" s="9" t="s">
        <v>97</v>
      </c>
      <c r="C22" s="22">
        <v>0.84311199999999997</v>
      </c>
      <c r="D22" s="9"/>
      <c r="E22" s="1">
        <v>17</v>
      </c>
      <c r="F22" s="9" t="s">
        <v>88</v>
      </c>
      <c r="G22" s="22">
        <v>0.78018330999999996</v>
      </c>
      <c r="H22" s="9"/>
      <c r="I22" s="1">
        <v>17</v>
      </c>
      <c r="J22" s="9" t="s">
        <v>71</v>
      </c>
      <c r="K22" s="22">
        <v>0.66741059000000003</v>
      </c>
      <c r="L22" s="9"/>
      <c r="M22" s="1">
        <v>17</v>
      </c>
      <c r="N22" s="15" t="s">
        <v>94</v>
      </c>
      <c r="O22" s="23">
        <v>0.72431838000000004</v>
      </c>
      <c r="P22" s="9"/>
      <c r="Q22" s="1">
        <v>17</v>
      </c>
      <c r="R22" s="15" t="s">
        <v>92</v>
      </c>
      <c r="S22" s="27">
        <v>0.57707056000000001</v>
      </c>
      <c r="T22" s="9"/>
      <c r="U22" s="1">
        <v>17</v>
      </c>
      <c r="V22" s="15" t="s">
        <v>104</v>
      </c>
      <c r="W22" s="23">
        <v>0.37128139999999998</v>
      </c>
      <c r="X22" s="9"/>
      <c r="Y22" s="1">
        <v>17</v>
      </c>
      <c r="Z22" s="9" t="s">
        <v>84</v>
      </c>
      <c r="AA22" s="30">
        <v>0.83964676000000005</v>
      </c>
      <c r="AB22" s="9"/>
      <c r="AC22" s="1">
        <v>17</v>
      </c>
      <c r="AD22" s="9" t="s">
        <v>94</v>
      </c>
      <c r="AE22" s="26">
        <v>0.46560104000000002</v>
      </c>
      <c r="AF22" s="9"/>
      <c r="AG22" s="1">
        <v>17</v>
      </c>
      <c r="AH22" s="9" t="s">
        <v>98</v>
      </c>
      <c r="AI22" s="22">
        <v>0.82847990999999999</v>
      </c>
    </row>
    <row r="23" spans="1:35" x14ac:dyDescent="0.2">
      <c r="A23" s="1">
        <v>18</v>
      </c>
      <c r="B23" s="9" t="s">
        <v>103</v>
      </c>
      <c r="C23" s="22">
        <v>0.83826334999999996</v>
      </c>
      <c r="D23" s="9"/>
      <c r="E23" s="1">
        <v>18</v>
      </c>
      <c r="F23" s="9" t="s">
        <v>104</v>
      </c>
      <c r="G23" s="22">
        <v>0.77124974999999996</v>
      </c>
      <c r="H23" s="9"/>
      <c r="I23" s="1">
        <v>18</v>
      </c>
      <c r="J23" s="9" t="s">
        <v>101</v>
      </c>
      <c r="K23" s="22">
        <v>0.66040030999999999</v>
      </c>
      <c r="L23" s="9"/>
      <c r="M23" s="1">
        <v>18</v>
      </c>
      <c r="N23" s="15" t="s">
        <v>164</v>
      </c>
      <c r="O23" s="23">
        <v>0.71350157999999997</v>
      </c>
      <c r="P23" s="9"/>
      <c r="Q23" s="1">
        <v>18</v>
      </c>
      <c r="R23" s="15" t="s">
        <v>80</v>
      </c>
      <c r="S23" s="27">
        <v>0.54693526999999997</v>
      </c>
      <c r="T23" s="9"/>
      <c r="U23" s="1">
        <v>18</v>
      </c>
      <c r="V23" s="15" t="s">
        <v>87</v>
      </c>
      <c r="W23" s="23">
        <v>0.35817229</v>
      </c>
      <c r="X23" s="9"/>
      <c r="Y23" s="1">
        <v>18</v>
      </c>
      <c r="Z23" s="9" t="s">
        <v>78</v>
      </c>
      <c r="AA23" s="30">
        <v>0.83838531000000005</v>
      </c>
      <c r="AB23" s="9"/>
      <c r="AC23" s="1">
        <v>18</v>
      </c>
      <c r="AD23" s="15" t="s">
        <v>79</v>
      </c>
      <c r="AE23" s="27">
        <v>0.45339832000000002</v>
      </c>
      <c r="AF23" s="9"/>
      <c r="AG23" s="1">
        <v>18</v>
      </c>
      <c r="AH23" s="9" t="s">
        <v>166</v>
      </c>
      <c r="AI23" s="22">
        <v>0.82647349999999997</v>
      </c>
    </row>
    <row r="24" spans="1:35" x14ac:dyDescent="0.2">
      <c r="A24" s="1">
        <v>19</v>
      </c>
      <c r="B24" s="15" t="s">
        <v>77</v>
      </c>
      <c r="C24" s="23">
        <v>0.82584678</v>
      </c>
      <c r="D24" s="9"/>
      <c r="E24" s="1">
        <v>19</v>
      </c>
      <c r="F24" s="9" t="s">
        <v>78</v>
      </c>
      <c r="G24" s="22">
        <v>0.76022566999999996</v>
      </c>
      <c r="H24" s="9"/>
      <c r="I24" s="1">
        <v>19</v>
      </c>
      <c r="J24" s="15" t="s">
        <v>92</v>
      </c>
      <c r="K24" s="23">
        <v>0.65681447999999998</v>
      </c>
      <c r="L24" s="9"/>
      <c r="M24" s="1">
        <v>19</v>
      </c>
      <c r="N24" s="9" t="s">
        <v>97</v>
      </c>
      <c r="O24" s="22">
        <v>0.70569455999999997</v>
      </c>
      <c r="P24" s="9"/>
      <c r="Q24" s="1">
        <v>19</v>
      </c>
      <c r="R24" s="9" t="s">
        <v>98</v>
      </c>
      <c r="S24" s="26">
        <v>0.52983168999999997</v>
      </c>
      <c r="T24" s="9"/>
      <c r="U24" s="1">
        <v>19</v>
      </c>
      <c r="V24" s="9" t="s">
        <v>91</v>
      </c>
      <c r="W24" s="22">
        <v>0.35610773000000001</v>
      </c>
      <c r="X24" s="9"/>
      <c r="Y24" s="1">
        <v>19</v>
      </c>
      <c r="Z24" s="9" t="s">
        <v>113</v>
      </c>
      <c r="AA24" s="30">
        <v>0.82254959000000005</v>
      </c>
      <c r="AB24" s="9"/>
      <c r="AC24" s="1">
        <v>19</v>
      </c>
      <c r="AD24" s="15" t="s">
        <v>101</v>
      </c>
      <c r="AE24" s="27">
        <v>0.45060866999999999</v>
      </c>
      <c r="AF24" s="9"/>
      <c r="AG24" s="1">
        <v>19</v>
      </c>
      <c r="AH24" s="9" t="s">
        <v>85</v>
      </c>
      <c r="AI24" s="22">
        <v>0.82086778999999999</v>
      </c>
    </row>
    <row r="25" spans="1:35" x14ac:dyDescent="0.2">
      <c r="A25" s="1">
        <v>20</v>
      </c>
      <c r="B25" s="15" t="s">
        <v>102</v>
      </c>
      <c r="C25" s="23">
        <v>0.82452873000000004</v>
      </c>
      <c r="D25" s="9"/>
      <c r="E25" s="1">
        <v>20</v>
      </c>
      <c r="F25" s="9" t="s">
        <v>98</v>
      </c>
      <c r="G25" s="22">
        <v>0.74984724999999997</v>
      </c>
      <c r="H25" s="9"/>
      <c r="I25" s="1">
        <v>20</v>
      </c>
      <c r="J25" s="15" t="s">
        <v>89</v>
      </c>
      <c r="K25" s="23">
        <v>0.64192543000000002</v>
      </c>
      <c r="L25" s="9"/>
      <c r="M25" s="1">
        <v>20</v>
      </c>
      <c r="N25" s="9" t="s">
        <v>281</v>
      </c>
      <c r="O25" s="22">
        <v>0.70295512999999998</v>
      </c>
      <c r="P25" s="9"/>
      <c r="Q25" s="1">
        <v>20</v>
      </c>
      <c r="R25" s="9" t="s">
        <v>104</v>
      </c>
      <c r="S25" s="26">
        <v>0.52932551000000005</v>
      </c>
      <c r="T25" s="9"/>
      <c r="U25" s="1">
        <v>20</v>
      </c>
      <c r="V25" s="9" t="s">
        <v>113</v>
      </c>
      <c r="W25" s="22">
        <v>0.34604462000000002</v>
      </c>
      <c r="X25" s="9"/>
      <c r="Y25" s="1">
        <v>20</v>
      </c>
      <c r="Z25" s="15" t="s">
        <v>71</v>
      </c>
      <c r="AA25" s="31">
        <v>0.81406235000000005</v>
      </c>
      <c r="AB25" s="9"/>
      <c r="AC25" s="1">
        <v>20</v>
      </c>
      <c r="AD25" s="9" t="s">
        <v>71</v>
      </c>
      <c r="AE25" s="26">
        <v>0.44393938999999999</v>
      </c>
      <c r="AF25" s="9"/>
      <c r="AG25" s="1">
        <v>20</v>
      </c>
      <c r="AH25" s="9" t="s">
        <v>87</v>
      </c>
      <c r="AI25" s="22">
        <v>0.81868956999999998</v>
      </c>
    </row>
    <row r="26" spans="1:35" x14ac:dyDescent="0.2">
      <c r="A26" s="1">
        <v>21</v>
      </c>
      <c r="B26" s="9" t="s">
        <v>98</v>
      </c>
      <c r="C26" s="22">
        <v>0.81941805999999995</v>
      </c>
      <c r="D26" s="9"/>
      <c r="E26" s="1">
        <v>21</v>
      </c>
      <c r="F26" s="15" t="s">
        <v>94</v>
      </c>
      <c r="G26" s="23">
        <v>0.73978169999999999</v>
      </c>
      <c r="H26" s="9"/>
      <c r="I26" s="1">
        <v>21</v>
      </c>
      <c r="J26" s="9" t="s">
        <v>245</v>
      </c>
      <c r="K26" s="22">
        <v>0.63769063000000004</v>
      </c>
      <c r="L26" s="9"/>
      <c r="M26" s="1">
        <v>21</v>
      </c>
      <c r="N26" s="9" t="s">
        <v>81</v>
      </c>
      <c r="O26" s="22">
        <v>0.69839804000000005</v>
      </c>
      <c r="P26" s="9"/>
      <c r="Q26" s="1">
        <v>21</v>
      </c>
      <c r="R26" s="9" t="s">
        <v>94</v>
      </c>
      <c r="S26" s="26">
        <v>0.52625995000000003</v>
      </c>
      <c r="T26" s="9"/>
      <c r="U26" s="1">
        <v>21</v>
      </c>
      <c r="V26" s="9" t="s">
        <v>88</v>
      </c>
      <c r="W26" s="22">
        <v>0.34460796999999999</v>
      </c>
      <c r="X26" s="9"/>
      <c r="Y26" s="1">
        <v>21</v>
      </c>
      <c r="Z26" s="15" t="s">
        <v>85</v>
      </c>
      <c r="AA26" s="31">
        <v>0.79422327999999998</v>
      </c>
      <c r="AB26" s="9"/>
      <c r="AC26" s="1">
        <v>21</v>
      </c>
      <c r="AD26" s="9" t="s">
        <v>93</v>
      </c>
      <c r="AE26" s="26">
        <v>0.43914434000000002</v>
      </c>
      <c r="AF26" s="9"/>
      <c r="AG26" s="1">
        <v>21</v>
      </c>
      <c r="AH26" s="9" t="s">
        <v>83</v>
      </c>
      <c r="AI26" s="22">
        <v>0.80862259999999997</v>
      </c>
    </row>
    <row r="27" spans="1:35" x14ac:dyDescent="0.2">
      <c r="A27" s="1">
        <v>22</v>
      </c>
      <c r="B27" s="9" t="s">
        <v>89</v>
      </c>
      <c r="C27" s="22">
        <v>0.81508574</v>
      </c>
      <c r="D27" s="9"/>
      <c r="E27" s="1">
        <v>22</v>
      </c>
      <c r="F27" s="15" t="s">
        <v>84</v>
      </c>
      <c r="G27" s="23">
        <v>0.72294504000000004</v>
      </c>
      <c r="H27" s="9"/>
      <c r="I27" s="1">
        <v>22</v>
      </c>
      <c r="J27" s="9" t="s">
        <v>103</v>
      </c>
      <c r="K27" s="22">
        <v>0.62094685999999999</v>
      </c>
      <c r="L27" s="9"/>
      <c r="M27" s="1">
        <v>22</v>
      </c>
      <c r="N27" s="9" t="s">
        <v>91</v>
      </c>
      <c r="O27" s="22">
        <v>0.69799540000000004</v>
      </c>
      <c r="P27" s="9"/>
      <c r="Q27" s="1">
        <v>22</v>
      </c>
      <c r="R27" s="9" t="s">
        <v>91</v>
      </c>
      <c r="S27" s="26">
        <v>0.51636371000000003</v>
      </c>
      <c r="T27" s="9"/>
      <c r="U27" s="1">
        <v>22</v>
      </c>
      <c r="V27" s="9" t="s">
        <v>74</v>
      </c>
      <c r="W27" s="22">
        <v>0.33851702</v>
      </c>
      <c r="X27" s="9"/>
      <c r="Y27" s="1">
        <v>22</v>
      </c>
      <c r="Z27" s="9" t="s">
        <v>95</v>
      </c>
      <c r="AA27" s="30">
        <v>0.79014169000000001</v>
      </c>
      <c r="AB27" s="9"/>
      <c r="AC27" s="1">
        <v>22</v>
      </c>
      <c r="AD27" s="9" t="s">
        <v>83</v>
      </c>
      <c r="AE27" s="26">
        <v>0.43279410000000001</v>
      </c>
      <c r="AF27" s="9"/>
      <c r="AG27" s="1">
        <v>22</v>
      </c>
      <c r="AH27" s="15" t="s">
        <v>80</v>
      </c>
      <c r="AI27" s="23">
        <v>0.79519510999999998</v>
      </c>
    </row>
    <row r="28" spans="1:35" x14ac:dyDescent="0.2">
      <c r="A28" s="1">
        <v>23</v>
      </c>
      <c r="B28" s="9" t="s">
        <v>246</v>
      </c>
      <c r="C28" s="22">
        <v>0.81475872000000005</v>
      </c>
      <c r="D28" s="9"/>
      <c r="E28" s="1">
        <v>23</v>
      </c>
      <c r="F28" s="9" t="s">
        <v>164</v>
      </c>
      <c r="G28" s="22">
        <v>0.71275657999999997</v>
      </c>
      <c r="H28" s="9"/>
      <c r="I28" s="1">
        <v>23</v>
      </c>
      <c r="J28" s="9" t="s">
        <v>164</v>
      </c>
      <c r="K28" s="22">
        <v>0.61853060999999998</v>
      </c>
      <c r="L28" s="9"/>
      <c r="M28" s="1">
        <v>23</v>
      </c>
      <c r="N28" s="9" t="s">
        <v>74</v>
      </c>
      <c r="O28" s="22">
        <v>0.69745758000000002</v>
      </c>
      <c r="P28" s="9"/>
      <c r="Q28" s="1">
        <v>23</v>
      </c>
      <c r="R28" s="9" t="s">
        <v>102</v>
      </c>
      <c r="S28" s="26">
        <v>0.50997787000000006</v>
      </c>
      <c r="T28" s="9"/>
      <c r="U28" s="1">
        <v>23</v>
      </c>
      <c r="V28" s="9" t="s">
        <v>97</v>
      </c>
      <c r="W28" s="22">
        <v>0.33712989999999998</v>
      </c>
      <c r="X28" s="9"/>
      <c r="Y28" s="1">
        <v>23</v>
      </c>
      <c r="Z28" s="9" t="s">
        <v>103</v>
      </c>
      <c r="AA28" s="30">
        <v>0.78821467000000001</v>
      </c>
      <c r="AB28" s="9"/>
      <c r="AC28" s="1">
        <v>23</v>
      </c>
      <c r="AD28" s="9" t="s">
        <v>80</v>
      </c>
      <c r="AE28" s="26">
        <v>0.42891529</v>
      </c>
      <c r="AF28" s="9"/>
      <c r="AG28" s="1">
        <v>23</v>
      </c>
      <c r="AH28" s="15" t="s">
        <v>282</v>
      </c>
      <c r="AI28" s="23">
        <v>0.77650843999999997</v>
      </c>
    </row>
    <row r="29" spans="1:35" x14ac:dyDescent="0.2">
      <c r="A29" s="1">
        <v>24</v>
      </c>
      <c r="B29" s="9" t="s">
        <v>245</v>
      </c>
      <c r="C29" s="22">
        <v>0.81243286000000003</v>
      </c>
      <c r="D29" s="9"/>
      <c r="E29" s="1">
        <v>24</v>
      </c>
      <c r="F29" s="9" t="s">
        <v>92</v>
      </c>
      <c r="G29" s="22">
        <v>0.69071225000000003</v>
      </c>
      <c r="H29" s="9"/>
      <c r="I29" s="1">
        <v>24</v>
      </c>
      <c r="J29" s="9" t="s">
        <v>282</v>
      </c>
      <c r="K29" s="22">
        <v>0.61590434000000005</v>
      </c>
      <c r="L29" s="9"/>
      <c r="M29" s="1">
        <v>24</v>
      </c>
      <c r="N29" s="9" t="s">
        <v>282</v>
      </c>
      <c r="O29" s="22">
        <v>0.69335922000000005</v>
      </c>
      <c r="P29" s="9"/>
      <c r="Q29" s="1">
        <v>24</v>
      </c>
      <c r="R29" s="9" t="s">
        <v>83</v>
      </c>
      <c r="S29" s="26">
        <v>0.50933287000000005</v>
      </c>
      <c r="T29" s="9"/>
      <c r="U29" s="1">
        <v>24</v>
      </c>
      <c r="V29" s="9" t="s">
        <v>283</v>
      </c>
      <c r="W29" s="22">
        <v>0.33163986000000001</v>
      </c>
      <c r="X29" s="9"/>
      <c r="Y29" s="1">
        <v>24</v>
      </c>
      <c r="Z29" s="9" t="s">
        <v>105</v>
      </c>
      <c r="AA29" s="30">
        <v>0.77721430000000002</v>
      </c>
      <c r="AB29" s="9"/>
      <c r="AC29" s="1">
        <v>24</v>
      </c>
      <c r="AD29" s="9" t="s">
        <v>97</v>
      </c>
      <c r="AE29" s="26">
        <v>0.4126031</v>
      </c>
      <c r="AF29" s="9"/>
      <c r="AG29" s="1">
        <v>24</v>
      </c>
      <c r="AH29" s="9" t="s">
        <v>164</v>
      </c>
      <c r="AI29" s="22">
        <v>0.75748397999999995</v>
      </c>
    </row>
    <row r="30" spans="1:35" x14ac:dyDescent="0.2">
      <c r="A30" s="1">
        <v>25</v>
      </c>
      <c r="B30" s="9" t="s">
        <v>104</v>
      </c>
      <c r="C30" s="22">
        <v>0.79867683</v>
      </c>
      <c r="D30" s="9"/>
      <c r="E30" s="1">
        <v>25</v>
      </c>
      <c r="F30" s="9" t="s">
        <v>112</v>
      </c>
      <c r="G30" s="22">
        <v>0.68438540000000003</v>
      </c>
      <c r="H30" s="9"/>
      <c r="I30" s="1">
        <v>25</v>
      </c>
      <c r="J30" s="9" t="s">
        <v>97</v>
      </c>
      <c r="K30" s="22">
        <v>0.60900138999999998</v>
      </c>
      <c r="L30" s="9"/>
      <c r="M30" s="1">
        <v>25</v>
      </c>
      <c r="N30" s="9" t="s">
        <v>92</v>
      </c>
      <c r="O30" s="22">
        <v>0.69039976999999997</v>
      </c>
      <c r="P30" s="9"/>
      <c r="Q30" s="1">
        <v>25</v>
      </c>
      <c r="R30" s="9" t="s">
        <v>93</v>
      </c>
      <c r="S30" s="26">
        <v>0.50773296999999995</v>
      </c>
      <c r="T30" s="9"/>
      <c r="U30" s="1">
        <v>25</v>
      </c>
      <c r="V30" s="9" t="s">
        <v>86</v>
      </c>
      <c r="W30" s="22">
        <v>0.32624076000000002</v>
      </c>
      <c r="X30" s="9"/>
      <c r="Y30" s="1">
        <v>25</v>
      </c>
      <c r="Z30" s="9" t="s">
        <v>90</v>
      </c>
      <c r="AA30" s="30">
        <v>0.77497207999999995</v>
      </c>
      <c r="AB30" s="9"/>
      <c r="AC30" s="1">
        <v>25</v>
      </c>
      <c r="AD30" s="9" t="s">
        <v>98</v>
      </c>
      <c r="AE30" s="26">
        <v>0.41217931000000002</v>
      </c>
      <c r="AF30" s="9"/>
      <c r="AG30" s="1">
        <v>25</v>
      </c>
      <c r="AH30" s="9" t="s">
        <v>86</v>
      </c>
      <c r="AI30" s="22">
        <v>0.75114734999999999</v>
      </c>
    </row>
    <row r="31" spans="1:35" x14ac:dyDescent="0.2">
      <c r="A31" s="1">
        <v>26</v>
      </c>
      <c r="B31" s="9" t="s">
        <v>92</v>
      </c>
      <c r="C31" s="22">
        <v>0.79733695000000004</v>
      </c>
      <c r="D31" s="9"/>
      <c r="E31" s="1">
        <v>26</v>
      </c>
      <c r="F31" s="9" t="s">
        <v>246</v>
      </c>
      <c r="G31" s="22">
        <v>0.74050594000000003</v>
      </c>
      <c r="H31" s="9"/>
      <c r="I31" s="1">
        <v>26</v>
      </c>
      <c r="J31" s="9" t="s">
        <v>283</v>
      </c>
      <c r="K31" s="22">
        <v>0.60399639000000005</v>
      </c>
      <c r="L31" s="9"/>
      <c r="M31" s="1">
        <v>26</v>
      </c>
      <c r="N31" s="9" t="s">
        <v>98</v>
      </c>
      <c r="O31" s="22">
        <v>0.68900057999999997</v>
      </c>
      <c r="P31" s="9"/>
      <c r="Q31" s="1">
        <v>26</v>
      </c>
      <c r="R31" s="9" t="s">
        <v>101</v>
      </c>
      <c r="S31" s="26">
        <v>0.50758603000000002</v>
      </c>
      <c r="T31" s="9"/>
      <c r="U31" s="1">
        <v>26</v>
      </c>
      <c r="V31" s="9" t="s">
        <v>99</v>
      </c>
      <c r="W31" s="22">
        <v>0.32567181000000001</v>
      </c>
      <c r="X31" s="9"/>
      <c r="Y31" s="1">
        <v>26</v>
      </c>
      <c r="Z31" s="9" t="s">
        <v>98</v>
      </c>
      <c r="AA31" s="30">
        <v>0.77473033000000002</v>
      </c>
      <c r="AB31" s="9"/>
      <c r="AC31" s="1">
        <v>26</v>
      </c>
      <c r="AD31" s="9" t="s">
        <v>104</v>
      </c>
      <c r="AE31" s="26">
        <v>0.40562527999999998</v>
      </c>
      <c r="AF31" s="9"/>
      <c r="AG31" s="1">
        <v>26</v>
      </c>
      <c r="AH31" s="9" t="s">
        <v>88</v>
      </c>
      <c r="AI31" s="22">
        <v>0.74917297999999999</v>
      </c>
    </row>
    <row r="32" spans="1:35" x14ac:dyDescent="0.2">
      <c r="A32" s="1">
        <v>27</v>
      </c>
      <c r="B32" s="9" t="s">
        <v>93</v>
      </c>
      <c r="C32" s="22">
        <v>0.79253638000000004</v>
      </c>
      <c r="D32" s="9"/>
      <c r="E32" s="1">
        <v>27</v>
      </c>
      <c r="F32" s="9" t="s">
        <v>245</v>
      </c>
      <c r="G32" s="22">
        <v>0.67419161000000005</v>
      </c>
      <c r="H32" s="9"/>
      <c r="I32" s="1">
        <v>27</v>
      </c>
      <c r="J32" s="9" t="s">
        <v>104</v>
      </c>
      <c r="K32" s="22">
        <v>0.59458672999999995</v>
      </c>
      <c r="L32" s="9"/>
      <c r="M32" s="1">
        <v>27</v>
      </c>
      <c r="N32" s="9" t="s">
        <v>71</v>
      </c>
      <c r="O32" s="22">
        <v>0.68892436000000001</v>
      </c>
      <c r="P32" s="9"/>
      <c r="Q32" s="1">
        <v>27</v>
      </c>
      <c r="R32" s="9" t="s">
        <v>95</v>
      </c>
      <c r="S32" s="26">
        <v>0.50654683</v>
      </c>
      <c r="T32" s="9"/>
      <c r="U32" s="1">
        <v>27</v>
      </c>
      <c r="V32" s="9" t="s">
        <v>166</v>
      </c>
      <c r="W32" s="22">
        <v>0.30264032000000002</v>
      </c>
      <c r="X32" s="9"/>
      <c r="Y32" s="1">
        <v>27</v>
      </c>
      <c r="Z32" s="9" t="s">
        <v>164</v>
      </c>
      <c r="AA32" s="30">
        <v>0.76149984999999998</v>
      </c>
      <c r="AB32" s="9"/>
      <c r="AC32" s="1">
        <v>27</v>
      </c>
      <c r="AD32" s="9" t="s">
        <v>113</v>
      </c>
      <c r="AE32" s="26">
        <v>0.40044405999999999</v>
      </c>
      <c r="AF32" s="9"/>
      <c r="AG32" s="1">
        <v>27</v>
      </c>
      <c r="AH32" s="9" t="s">
        <v>90</v>
      </c>
      <c r="AI32" s="22">
        <v>0.74752474999999996</v>
      </c>
    </row>
    <row r="33" spans="1:35" x14ac:dyDescent="0.2">
      <c r="A33" s="1">
        <v>28</v>
      </c>
      <c r="B33" s="9" t="s">
        <v>95</v>
      </c>
      <c r="C33" s="22">
        <v>0.78684363999999996</v>
      </c>
      <c r="D33" s="9"/>
      <c r="E33" s="1">
        <v>28</v>
      </c>
      <c r="F33" s="9" t="s">
        <v>103</v>
      </c>
      <c r="G33" s="22">
        <v>0.67436905999999996</v>
      </c>
      <c r="H33" s="9"/>
      <c r="I33" s="1">
        <v>28</v>
      </c>
      <c r="J33" s="9" t="s">
        <v>246</v>
      </c>
      <c r="K33" s="22">
        <v>0.59359300999999998</v>
      </c>
      <c r="L33" s="9"/>
      <c r="M33" s="1">
        <v>28</v>
      </c>
      <c r="N33" s="9" t="s">
        <v>103</v>
      </c>
      <c r="O33" s="22">
        <v>0.68572045000000004</v>
      </c>
      <c r="P33" s="9"/>
      <c r="Q33" s="1">
        <v>28</v>
      </c>
      <c r="R33" s="9" t="s">
        <v>245</v>
      </c>
      <c r="S33" s="26">
        <v>0.49243923000000001</v>
      </c>
      <c r="T33" s="9"/>
      <c r="U33" s="1">
        <v>28</v>
      </c>
      <c r="V33" s="9" t="s">
        <v>79</v>
      </c>
      <c r="W33" s="22">
        <v>0.30146730999999999</v>
      </c>
      <c r="X33" s="9"/>
      <c r="Y33" s="1">
        <v>28</v>
      </c>
      <c r="Z33" s="9" t="s">
        <v>89</v>
      </c>
      <c r="AA33" s="30">
        <v>0.75812183</v>
      </c>
      <c r="AB33" s="9"/>
      <c r="AC33" s="1">
        <v>28</v>
      </c>
      <c r="AD33" s="9" t="s">
        <v>87</v>
      </c>
      <c r="AE33" s="26">
        <v>0.39875590999999999</v>
      </c>
      <c r="AF33" s="9"/>
      <c r="AG33" s="1">
        <v>28</v>
      </c>
      <c r="AH33" s="9" t="s">
        <v>105</v>
      </c>
      <c r="AI33" s="22">
        <v>0.74370996</v>
      </c>
    </row>
    <row r="34" spans="1:35" x14ac:dyDescent="0.2">
      <c r="A34" s="1">
        <v>29</v>
      </c>
      <c r="B34" s="9" t="s">
        <v>105</v>
      </c>
      <c r="C34" s="22">
        <v>0.77803442</v>
      </c>
      <c r="D34" s="9"/>
      <c r="E34" s="1">
        <v>29</v>
      </c>
      <c r="F34" s="9" t="s">
        <v>241</v>
      </c>
      <c r="G34" s="22">
        <v>0.67053578999999996</v>
      </c>
      <c r="H34" s="9"/>
      <c r="I34" s="1">
        <v>29</v>
      </c>
      <c r="J34" s="9" t="s">
        <v>95</v>
      </c>
      <c r="K34" s="22">
        <v>0.58815545999999996</v>
      </c>
      <c r="L34" s="9"/>
      <c r="M34" s="1">
        <v>29</v>
      </c>
      <c r="N34" s="9" t="s">
        <v>166</v>
      </c>
      <c r="O34" s="22">
        <v>0.67795225999999997</v>
      </c>
      <c r="P34" s="9"/>
      <c r="Q34" s="1">
        <v>29</v>
      </c>
      <c r="R34" s="9" t="s">
        <v>99</v>
      </c>
      <c r="S34" s="26">
        <v>0.49076379999999997</v>
      </c>
      <c r="T34" s="9"/>
      <c r="U34" s="1">
        <v>29</v>
      </c>
      <c r="V34" s="9" t="s">
        <v>83</v>
      </c>
      <c r="W34" s="22">
        <v>0.28242291000000003</v>
      </c>
      <c r="X34" s="9"/>
      <c r="Y34" s="1">
        <v>29</v>
      </c>
      <c r="Z34" s="9" t="s">
        <v>92</v>
      </c>
      <c r="AA34" s="30">
        <v>0.75066608000000001</v>
      </c>
      <c r="AB34" s="9"/>
      <c r="AC34" s="1">
        <v>29</v>
      </c>
      <c r="AD34" s="9" t="s">
        <v>103</v>
      </c>
      <c r="AE34" s="26">
        <v>0.39082439000000002</v>
      </c>
      <c r="AF34" s="9"/>
      <c r="AG34" s="1">
        <v>29</v>
      </c>
      <c r="AH34" s="9" t="s">
        <v>99</v>
      </c>
      <c r="AI34" s="22">
        <v>0.69876528999999998</v>
      </c>
    </row>
    <row r="35" spans="1:35" x14ac:dyDescent="0.2">
      <c r="A35" s="1">
        <v>30</v>
      </c>
      <c r="B35" s="9" t="s">
        <v>112</v>
      </c>
      <c r="C35" s="22">
        <v>0.76349971999999999</v>
      </c>
      <c r="D35" s="9"/>
      <c r="E35" s="1">
        <v>30</v>
      </c>
      <c r="F35" s="9" t="s">
        <v>282</v>
      </c>
      <c r="G35" s="22">
        <v>0.67012868000000003</v>
      </c>
      <c r="H35" s="9"/>
      <c r="I35" s="1">
        <v>30</v>
      </c>
      <c r="J35" s="9" t="s">
        <v>93</v>
      </c>
      <c r="K35" s="22">
        <v>0.58497237000000002</v>
      </c>
      <c r="L35" s="9"/>
      <c r="M35" s="1">
        <v>30</v>
      </c>
      <c r="N35" s="9" t="s">
        <v>87</v>
      </c>
      <c r="O35" s="22">
        <v>0.67610152000000001</v>
      </c>
      <c r="P35" s="9"/>
      <c r="Q35" s="1">
        <v>30</v>
      </c>
      <c r="R35" s="9" t="s">
        <v>71</v>
      </c>
      <c r="S35" s="26">
        <v>0.49033343000000001</v>
      </c>
      <c r="T35" s="9"/>
      <c r="U35" s="1">
        <v>30</v>
      </c>
      <c r="V35" s="9" t="s">
        <v>81</v>
      </c>
      <c r="W35" s="22">
        <v>0.27409285999999999</v>
      </c>
      <c r="X35" s="9"/>
      <c r="Y35" s="1">
        <v>30</v>
      </c>
      <c r="Z35" s="9" t="s">
        <v>99</v>
      </c>
      <c r="AA35" s="30">
        <v>0.74679108000000005</v>
      </c>
      <c r="AB35" s="9"/>
      <c r="AC35" s="1">
        <v>30</v>
      </c>
      <c r="AD35" s="9" t="s">
        <v>99</v>
      </c>
      <c r="AE35" s="26">
        <v>0.38539088999999999</v>
      </c>
      <c r="AF35" s="9"/>
      <c r="AG35" s="1">
        <v>30</v>
      </c>
      <c r="AH35" s="9" t="s">
        <v>97</v>
      </c>
      <c r="AI35" s="22">
        <v>0.69263832000000003</v>
      </c>
    </row>
    <row r="36" spans="1:35" x14ac:dyDescent="0.2">
      <c r="A36" s="1">
        <v>31</v>
      </c>
      <c r="B36" s="16" t="s">
        <v>281</v>
      </c>
      <c r="C36" s="24">
        <v>0.75910248000000002</v>
      </c>
      <c r="D36" s="9"/>
      <c r="E36" s="1">
        <v>31</v>
      </c>
      <c r="F36" s="9" t="s">
        <v>99</v>
      </c>
      <c r="G36" s="22">
        <v>0.66134263000000004</v>
      </c>
      <c r="H36" s="9"/>
      <c r="I36" s="1">
        <v>31</v>
      </c>
      <c r="J36" s="9" t="s">
        <v>99</v>
      </c>
      <c r="K36" s="22">
        <v>0.57054136</v>
      </c>
      <c r="L36" s="9"/>
      <c r="M36" s="1">
        <v>31</v>
      </c>
      <c r="N36" s="9" t="s">
        <v>105</v>
      </c>
      <c r="O36" s="22">
        <v>0.66196865000000005</v>
      </c>
      <c r="P36" s="9"/>
      <c r="Q36" s="1">
        <v>31</v>
      </c>
      <c r="R36" s="9" t="s">
        <v>88</v>
      </c>
      <c r="S36" s="26">
        <v>0.47463716</v>
      </c>
      <c r="T36" s="9"/>
      <c r="U36" s="1">
        <v>31</v>
      </c>
      <c r="V36" s="9" t="s">
        <v>80</v>
      </c>
      <c r="W36" s="22">
        <v>0.26832213999999999</v>
      </c>
      <c r="X36" s="9"/>
      <c r="Y36" s="1">
        <v>31</v>
      </c>
      <c r="Z36" s="9" t="s">
        <v>112</v>
      </c>
      <c r="AA36" s="30">
        <v>0.73384921999999997</v>
      </c>
      <c r="AB36" s="9"/>
      <c r="AC36" s="1">
        <v>31</v>
      </c>
      <c r="AD36" s="9" t="s">
        <v>129</v>
      </c>
      <c r="AE36" s="26">
        <v>0.37196444000000001</v>
      </c>
      <c r="AF36" s="9"/>
      <c r="AG36" s="1">
        <v>31</v>
      </c>
      <c r="AH36" s="9" t="s">
        <v>94</v>
      </c>
      <c r="AI36" s="22">
        <v>0.66758591</v>
      </c>
    </row>
    <row r="37" spans="1:35" x14ac:dyDescent="0.2">
      <c r="A37" s="1">
        <v>32</v>
      </c>
      <c r="B37" s="16" t="s">
        <v>101</v>
      </c>
      <c r="C37" s="24">
        <v>0.75636278999999995</v>
      </c>
      <c r="D37" s="9"/>
      <c r="E37" s="1">
        <v>32</v>
      </c>
      <c r="F37" s="9" t="s">
        <v>89</v>
      </c>
      <c r="G37" s="22">
        <v>0.65989182000000002</v>
      </c>
      <c r="H37" s="9"/>
      <c r="I37" s="1">
        <v>32</v>
      </c>
      <c r="J37" s="9" t="s">
        <v>90</v>
      </c>
      <c r="K37" s="22">
        <v>0.56689747999999995</v>
      </c>
      <c r="L37" s="9"/>
      <c r="M37" s="1">
        <v>32</v>
      </c>
      <c r="N37" s="9" t="s">
        <v>245</v>
      </c>
      <c r="O37" s="22">
        <v>0.65550761999999996</v>
      </c>
      <c r="P37" s="9"/>
      <c r="Q37" s="1">
        <v>32</v>
      </c>
      <c r="R37" s="9" t="s">
        <v>86</v>
      </c>
      <c r="S37" s="26">
        <v>0.46572580000000002</v>
      </c>
      <c r="T37" s="9"/>
      <c r="U37" s="1">
        <v>32</v>
      </c>
      <c r="V37" s="9" t="s">
        <v>164</v>
      </c>
      <c r="W37" s="22">
        <v>0.26745679999999999</v>
      </c>
      <c r="X37" s="9"/>
      <c r="Y37" s="1">
        <v>32</v>
      </c>
      <c r="Z37" s="9" t="s">
        <v>94</v>
      </c>
      <c r="AA37" s="30">
        <v>0.72729796000000002</v>
      </c>
      <c r="AB37" s="9"/>
      <c r="AC37" s="1">
        <v>32</v>
      </c>
      <c r="AD37" s="9" t="s">
        <v>164</v>
      </c>
      <c r="AE37" s="26">
        <v>0.36602011000000001</v>
      </c>
      <c r="AF37" s="9"/>
      <c r="AG37" s="1">
        <v>32</v>
      </c>
      <c r="AH37" s="9" t="s">
        <v>129</v>
      </c>
      <c r="AI37" s="22">
        <v>0.66648224</v>
      </c>
    </row>
    <row r="38" spans="1:35" x14ac:dyDescent="0.2">
      <c r="A38" s="1">
        <v>33</v>
      </c>
      <c r="B38" s="16" t="s">
        <v>282</v>
      </c>
      <c r="C38" s="24">
        <v>0.74962532999999998</v>
      </c>
      <c r="D38" s="9"/>
      <c r="E38" s="1">
        <v>33</v>
      </c>
      <c r="F38" s="9" t="s">
        <v>93</v>
      </c>
      <c r="G38" s="22">
        <v>0.64293489999999998</v>
      </c>
      <c r="H38" s="9"/>
      <c r="I38" s="1">
        <v>33</v>
      </c>
      <c r="J38" s="9" t="s">
        <v>241</v>
      </c>
      <c r="K38" s="22">
        <v>0.56130004</v>
      </c>
      <c r="L38" s="9"/>
      <c r="M38" s="1">
        <v>33</v>
      </c>
      <c r="N38" s="9" t="s">
        <v>241</v>
      </c>
      <c r="O38" s="22">
        <v>0.64603394000000003</v>
      </c>
      <c r="P38" s="9"/>
      <c r="Q38" s="1">
        <v>33</v>
      </c>
      <c r="R38" s="9" t="s">
        <v>241</v>
      </c>
      <c r="S38" s="26">
        <v>0.46197629000000001</v>
      </c>
      <c r="T38" s="9"/>
      <c r="U38" s="1">
        <v>33</v>
      </c>
      <c r="V38" s="9" t="s">
        <v>71</v>
      </c>
      <c r="W38" s="22">
        <v>0.25365451999999999</v>
      </c>
      <c r="X38" s="9"/>
      <c r="Y38" s="1">
        <v>33</v>
      </c>
      <c r="Z38" s="16" t="s">
        <v>283</v>
      </c>
      <c r="AA38" s="32">
        <v>0.71736929999999999</v>
      </c>
      <c r="AB38" s="9"/>
      <c r="AC38" s="1">
        <v>33</v>
      </c>
      <c r="AD38" s="9" t="s">
        <v>105</v>
      </c>
      <c r="AE38" s="26">
        <v>0.36060179999999997</v>
      </c>
      <c r="AF38" s="9"/>
      <c r="AG38" s="1">
        <v>33</v>
      </c>
      <c r="AH38" s="9" t="s">
        <v>103</v>
      </c>
      <c r="AI38" s="22">
        <v>0.66551252000000005</v>
      </c>
    </row>
    <row r="39" spans="1:35" x14ac:dyDescent="0.2">
      <c r="A39" s="1">
        <v>34</v>
      </c>
      <c r="B39" s="16" t="s">
        <v>283</v>
      </c>
      <c r="C39" s="24">
        <v>0.74500792999999998</v>
      </c>
      <c r="D39" s="9"/>
      <c r="E39" s="1">
        <v>34</v>
      </c>
      <c r="F39" s="9" t="s">
        <v>283</v>
      </c>
      <c r="G39" s="22">
        <v>0.64175225000000002</v>
      </c>
      <c r="H39" s="9"/>
      <c r="I39" s="1">
        <v>34</v>
      </c>
      <c r="J39" s="16" t="s">
        <v>166</v>
      </c>
      <c r="K39" s="24">
        <v>0.55283667999999997</v>
      </c>
      <c r="L39" s="9"/>
      <c r="M39" s="1">
        <v>34</v>
      </c>
      <c r="N39" s="9" t="s">
        <v>93</v>
      </c>
      <c r="O39" s="22">
        <v>0.63886684000000005</v>
      </c>
      <c r="P39" s="9"/>
      <c r="Q39" s="1">
        <v>34</v>
      </c>
      <c r="R39" s="9" t="s">
        <v>281</v>
      </c>
      <c r="S39" s="26">
        <v>0.44492640999999999</v>
      </c>
      <c r="T39" s="9"/>
      <c r="U39" s="1">
        <v>34</v>
      </c>
      <c r="V39" s="9" t="s">
        <v>281</v>
      </c>
      <c r="W39" s="22">
        <v>0.24273158</v>
      </c>
      <c r="X39" s="9"/>
      <c r="Y39" s="1">
        <v>34</v>
      </c>
      <c r="Z39" s="16" t="s">
        <v>129</v>
      </c>
      <c r="AA39" s="32">
        <v>0.70764665000000004</v>
      </c>
      <c r="AB39" s="9"/>
      <c r="AC39" s="1">
        <v>34</v>
      </c>
      <c r="AD39" s="9" t="s">
        <v>246</v>
      </c>
      <c r="AE39" s="26">
        <v>0.35319759000000001</v>
      </c>
      <c r="AF39" s="9"/>
      <c r="AG39" s="1">
        <v>34</v>
      </c>
      <c r="AH39" s="16" t="s">
        <v>283</v>
      </c>
      <c r="AI39" s="24">
        <v>0.64084450000000004</v>
      </c>
    </row>
    <row r="40" spans="1:35" x14ac:dyDescent="0.2">
      <c r="A40" s="1">
        <v>35</v>
      </c>
      <c r="B40" s="16" t="s">
        <v>241</v>
      </c>
      <c r="C40" s="24">
        <v>0.74433779</v>
      </c>
      <c r="D40" s="9"/>
      <c r="E40" s="1">
        <v>35</v>
      </c>
      <c r="F40" s="9" t="s">
        <v>101</v>
      </c>
      <c r="G40" s="22">
        <v>0.63770360999999998</v>
      </c>
      <c r="H40" s="9"/>
      <c r="I40" s="1">
        <v>35</v>
      </c>
      <c r="J40" s="16" t="s">
        <v>129</v>
      </c>
      <c r="K40" s="24">
        <v>0.53790992000000004</v>
      </c>
      <c r="L40" s="9"/>
      <c r="M40" s="1">
        <v>35</v>
      </c>
      <c r="N40" s="16" t="s">
        <v>112</v>
      </c>
      <c r="O40" s="24">
        <v>0.61378200000000005</v>
      </c>
      <c r="P40" s="9"/>
      <c r="Q40" s="1">
        <v>35</v>
      </c>
      <c r="R40" s="9" t="s">
        <v>166</v>
      </c>
      <c r="S40" s="26">
        <v>0.44473140999999999</v>
      </c>
      <c r="T40" s="9"/>
      <c r="U40" s="1">
        <v>35</v>
      </c>
      <c r="V40" s="16" t="s">
        <v>245</v>
      </c>
      <c r="W40" s="24">
        <v>9.27317E-2</v>
      </c>
      <c r="X40" s="9"/>
      <c r="Y40" s="1">
        <v>35</v>
      </c>
      <c r="Z40" s="16" t="s">
        <v>93</v>
      </c>
      <c r="AA40" s="32">
        <v>0.67149435000000002</v>
      </c>
      <c r="AB40" s="9"/>
      <c r="AC40" s="1">
        <v>35</v>
      </c>
      <c r="AD40" s="16" t="s">
        <v>112</v>
      </c>
      <c r="AE40" s="28">
        <v>0.34408336</v>
      </c>
      <c r="AF40" s="9"/>
      <c r="AG40" s="1">
        <v>35</v>
      </c>
      <c r="AH40" s="16" t="s">
        <v>102</v>
      </c>
      <c r="AI40" s="24">
        <v>0.62871286999999998</v>
      </c>
    </row>
    <row r="41" spans="1:35" x14ac:dyDescent="0.2">
      <c r="A41" s="1">
        <v>36</v>
      </c>
      <c r="B41" s="16" t="s">
        <v>99</v>
      </c>
      <c r="C41" s="24">
        <v>0.74281132000000005</v>
      </c>
      <c r="D41" s="9"/>
      <c r="E41" s="1">
        <v>36</v>
      </c>
      <c r="F41" s="16" t="s">
        <v>105</v>
      </c>
      <c r="G41" s="24">
        <v>0.62997172999999995</v>
      </c>
      <c r="H41" s="9"/>
      <c r="I41" s="1">
        <v>36</v>
      </c>
      <c r="J41" s="16" t="s">
        <v>113</v>
      </c>
      <c r="K41" s="24">
        <v>0.53182408999999997</v>
      </c>
      <c r="L41" s="9"/>
      <c r="M41" s="1">
        <v>36</v>
      </c>
      <c r="N41" s="16" t="s">
        <v>113</v>
      </c>
      <c r="O41" s="24">
        <v>0.59755968000000004</v>
      </c>
      <c r="P41" s="9"/>
      <c r="Q41" s="1">
        <v>36</v>
      </c>
      <c r="R41" s="16" t="s">
        <v>97</v>
      </c>
      <c r="S41" s="28">
        <v>0.42921020999999998</v>
      </c>
      <c r="T41" s="9"/>
      <c r="U41" s="1">
        <v>36</v>
      </c>
      <c r="V41" s="16" t="s">
        <v>90</v>
      </c>
      <c r="W41" s="24">
        <v>7.1095179999999994E-2</v>
      </c>
      <c r="X41" s="9"/>
      <c r="Y41" s="1">
        <v>36</v>
      </c>
      <c r="Z41" s="16" t="s">
        <v>97</v>
      </c>
      <c r="AA41" s="32">
        <v>0.62537396000000001</v>
      </c>
      <c r="AB41" s="9"/>
      <c r="AC41" s="1">
        <v>36</v>
      </c>
      <c r="AD41" s="16" t="s">
        <v>90</v>
      </c>
      <c r="AE41" s="28">
        <v>0.33005103000000002</v>
      </c>
      <c r="AF41" s="9"/>
      <c r="AG41" s="1">
        <v>36</v>
      </c>
      <c r="AH41" s="16" t="s">
        <v>104</v>
      </c>
      <c r="AI41" s="24">
        <v>0.60856144000000001</v>
      </c>
    </row>
    <row r="42" spans="1:35" x14ac:dyDescent="0.2">
      <c r="A42" s="1">
        <v>37</v>
      </c>
      <c r="B42" s="16" t="s">
        <v>113</v>
      </c>
      <c r="C42" s="24">
        <v>0.72065972</v>
      </c>
      <c r="D42" s="9"/>
      <c r="E42" s="1">
        <v>37</v>
      </c>
      <c r="F42" s="16" t="s">
        <v>129</v>
      </c>
      <c r="G42" s="24">
        <v>0.62102362</v>
      </c>
      <c r="H42" s="9"/>
      <c r="I42" s="1">
        <v>37</v>
      </c>
      <c r="J42" s="16" t="s">
        <v>105</v>
      </c>
      <c r="K42" s="24">
        <v>0.52877187000000003</v>
      </c>
      <c r="L42" s="9"/>
      <c r="M42" s="1">
        <v>37</v>
      </c>
      <c r="N42" s="16" t="s">
        <v>283</v>
      </c>
      <c r="O42" s="24">
        <v>0.59160051999999996</v>
      </c>
      <c r="P42" s="9"/>
      <c r="Q42" s="1">
        <v>37</v>
      </c>
      <c r="R42" s="16" t="s">
        <v>246</v>
      </c>
      <c r="S42" s="28">
        <v>0.4090625</v>
      </c>
      <c r="T42" s="9"/>
      <c r="U42" s="1">
        <v>37</v>
      </c>
      <c r="V42" s="16" t="s">
        <v>241</v>
      </c>
      <c r="W42" s="24">
        <v>6.3145989999999999E-2</v>
      </c>
      <c r="X42" s="9"/>
      <c r="Y42" s="1">
        <v>37</v>
      </c>
      <c r="Z42" s="16" t="s">
        <v>101</v>
      </c>
      <c r="AA42" s="32">
        <v>0.58319743000000002</v>
      </c>
      <c r="AB42" s="9"/>
      <c r="AC42" s="1">
        <v>37</v>
      </c>
      <c r="AD42" s="16" t="s">
        <v>283</v>
      </c>
      <c r="AE42" s="28">
        <v>0.32486274999999998</v>
      </c>
      <c r="AF42" s="9"/>
      <c r="AG42" s="1">
        <v>37</v>
      </c>
      <c r="AH42" s="16" t="s">
        <v>113</v>
      </c>
      <c r="AI42" s="24">
        <v>0.56845078999999998</v>
      </c>
    </row>
    <row r="43" spans="1:35" x14ac:dyDescent="0.2">
      <c r="A43" s="1">
        <v>38</v>
      </c>
      <c r="B43" s="16" t="s">
        <v>166</v>
      </c>
      <c r="C43" s="24">
        <v>0.69886316999999998</v>
      </c>
      <c r="D43" s="9"/>
      <c r="E43" s="1">
        <v>38</v>
      </c>
      <c r="F43" s="16" t="s">
        <v>281</v>
      </c>
      <c r="G43" s="24">
        <v>0.58262455999999996</v>
      </c>
      <c r="H43" s="9"/>
      <c r="I43" s="1">
        <v>38</v>
      </c>
      <c r="J43" s="16" t="s">
        <v>102</v>
      </c>
      <c r="K43" s="24">
        <v>0.50883718</v>
      </c>
      <c r="L43" s="9"/>
      <c r="M43" s="1">
        <v>38</v>
      </c>
      <c r="N43" s="16" t="s">
        <v>99</v>
      </c>
      <c r="O43" s="24">
        <v>0.55067299000000003</v>
      </c>
      <c r="P43" s="9"/>
      <c r="Q43" s="1">
        <v>38</v>
      </c>
      <c r="R43" s="16" t="s">
        <v>282</v>
      </c>
      <c r="S43" s="28">
        <v>0.33776113000000002</v>
      </c>
      <c r="T43" s="9"/>
      <c r="U43" s="1">
        <v>38</v>
      </c>
      <c r="V43" s="16" t="s">
        <v>102</v>
      </c>
      <c r="W43" s="24">
        <v>4.6071920000000002E-2</v>
      </c>
      <c r="X43" s="9"/>
      <c r="Y43" s="1">
        <v>38</v>
      </c>
      <c r="Z43" s="16" t="s">
        <v>102</v>
      </c>
      <c r="AA43" s="33" t="s">
        <v>319</v>
      </c>
      <c r="AB43" s="9"/>
      <c r="AC43" s="1">
        <v>38</v>
      </c>
      <c r="AD43" s="16" t="s">
        <v>245</v>
      </c>
      <c r="AE43" s="28">
        <v>0.269341</v>
      </c>
      <c r="AF43" s="9"/>
      <c r="AG43" s="1">
        <v>38</v>
      </c>
      <c r="AH43" s="16" t="s">
        <v>241</v>
      </c>
      <c r="AI43" s="24">
        <v>0.48514850999999998</v>
      </c>
    </row>
    <row r="44" spans="1:35" x14ac:dyDescent="0.2">
      <c r="A44" s="1">
        <v>39</v>
      </c>
      <c r="B44" s="16" t="s">
        <v>129</v>
      </c>
      <c r="C44" s="24">
        <v>0.64460561999999999</v>
      </c>
      <c r="D44" s="9"/>
      <c r="E44" s="1">
        <v>39</v>
      </c>
      <c r="F44" s="16" t="s">
        <v>113</v>
      </c>
      <c r="G44" s="24">
        <v>0.34160288999999999</v>
      </c>
      <c r="H44" s="9"/>
      <c r="I44" s="1">
        <v>39</v>
      </c>
      <c r="J44" s="16" t="s">
        <v>112</v>
      </c>
      <c r="K44" s="24">
        <v>0.48842580000000002</v>
      </c>
      <c r="L44" s="9"/>
      <c r="M44" s="1">
        <v>39</v>
      </c>
      <c r="N44" s="16" t="s">
        <v>129</v>
      </c>
      <c r="O44" s="24">
        <v>0.53921627999999999</v>
      </c>
      <c r="P44" s="9"/>
      <c r="Q44" s="1">
        <v>39</v>
      </c>
      <c r="R44" s="16" t="s">
        <v>113</v>
      </c>
      <c r="S44" s="28">
        <v>0.28292897</v>
      </c>
      <c r="T44" s="9"/>
      <c r="U44" s="1">
        <v>39</v>
      </c>
      <c r="V44" s="16" t="s">
        <v>246</v>
      </c>
      <c r="W44" s="24">
        <v>8.5370399999999992E-3</v>
      </c>
      <c r="X44" s="9"/>
      <c r="Y44" s="1">
        <v>39</v>
      </c>
      <c r="Z44" s="16" t="s">
        <v>246</v>
      </c>
      <c r="AA44" s="33" t="s">
        <v>319</v>
      </c>
      <c r="AB44" s="9"/>
      <c r="AC44" s="1">
        <v>39</v>
      </c>
      <c r="AD44" s="16" t="s">
        <v>241</v>
      </c>
      <c r="AE44" s="28">
        <v>0.26686285999999998</v>
      </c>
      <c r="AF44" s="9"/>
      <c r="AG44" s="1">
        <v>39</v>
      </c>
      <c r="AH44" s="16" t="s">
        <v>245</v>
      </c>
      <c r="AI44" s="24">
        <v>0.45544553999999998</v>
      </c>
    </row>
    <row r="45" spans="1:35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22"/>
    </row>
    <row r="46" spans="1:35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x14ac:dyDescent="0.2">
      <c r="A47" s="9"/>
      <c r="B47" s="15" t="s">
        <v>284</v>
      </c>
      <c r="C47" s="22">
        <f>AVERAGE(C6:C44)</f>
        <v>0.82603987282051272</v>
      </c>
      <c r="D47" s="9"/>
      <c r="E47" s="9"/>
      <c r="F47" s="15" t="s">
        <v>284</v>
      </c>
      <c r="G47" s="22">
        <f>AVERAGE(G6:G44)</f>
        <v>0.73729722589743574</v>
      </c>
      <c r="H47" s="9"/>
      <c r="I47" s="9"/>
      <c r="J47" s="15" t="s">
        <v>284</v>
      </c>
      <c r="K47" s="22">
        <f>AVERAGE(K6:K44)</f>
        <v>0.6448674474358973</v>
      </c>
      <c r="L47" s="9"/>
      <c r="M47" s="9"/>
      <c r="N47" s="15" t="s">
        <v>284</v>
      </c>
      <c r="O47" s="22">
        <f>AVERAGE(O6:O44)</f>
        <v>0.71770421769230774</v>
      </c>
      <c r="P47" s="9"/>
      <c r="Q47" s="9"/>
      <c r="R47" s="15" t="s">
        <v>284</v>
      </c>
      <c r="S47" s="22">
        <f>AVERAGE(S6:S44)</f>
        <v>0.55142128641025645</v>
      </c>
      <c r="T47" s="9"/>
      <c r="U47" s="9"/>
      <c r="V47" s="15" t="s">
        <v>284</v>
      </c>
      <c r="W47" s="22">
        <f>AVERAGE(W6:W44)</f>
        <v>0.36732547333333326</v>
      </c>
      <c r="X47" s="9"/>
      <c r="Y47" s="9"/>
      <c r="Z47" s="15" t="s">
        <v>284</v>
      </c>
      <c r="AA47" s="22">
        <f>AVERAGE(AA6:AA44)</f>
        <v>0.81144231945945966</v>
      </c>
      <c r="AB47" s="9"/>
      <c r="AC47" s="9"/>
      <c r="AD47" s="15" t="s">
        <v>284</v>
      </c>
      <c r="AE47" s="22">
        <f>AVERAGE(AE6:AE44)</f>
        <v>0.45174615435897436</v>
      </c>
      <c r="AF47" s="9"/>
      <c r="AG47" s="9"/>
      <c r="AH47" s="15" t="s">
        <v>284</v>
      </c>
      <c r="AI47" s="22">
        <f>AVERAGE(AI6:AI44)</f>
        <v>0.78132057948717948</v>
      </c>
    </row>
    <row r="48" spans="1:35" x14ac:dyDescent="0.2">
      <c r="A48" s="9"/>
      <c r="B48" s="9" t="s">
        <v>285</v>
      </c>
      <c r="C48" s="22">
        <v>7.2472350000000005E-2</v>
      </c>
      <c r="D48" s="9"/>
      <c r="E48" s="9"/>
      <c r="F48" s="9" t="s">
        <v>285</v>
      </c>
      <c r="G48" s="22">
        <v>0.10782363</v>
      </c>
      <c r="H48" s="9"/>
      <c r="I48" s="9"/>
      <c r="J48" s="9" t="s">
        <v>285</v>
      </c>
      <c r="K48" s="22">
        <v>8.4656549999999997E-2</v>
      </c>
      <c r="L48" s="9"/>
      <c r="M48" s="9"/>
      <c r="N48" s="9" t="s">
        <v>285</v>
      </c>
      <c r="O48" s="22">
        <v>8.4731929999999997E-2</v>
      </c>
      <c r="P48" s="9"/>
      <c r="Q48" s="9"/>
      <c r="R48" s="9" t="s">
        <v>285</v>
      </c>
      <c r="S48" s="22">
        <v>0.11065418</v>
      </c>
      <c r="T48" s="9"/>
      <c r="U48" s="9"/>
      <c r="V48" s="9" t="s">
        <v>285</v>
      </c>
      <c r="W48" s="22">
        <v>0.18037137</v>
      </c>
      <c r="X48" s="9"/>
      <c r="Y48" s="9"/>
      <c r="Z48" s="9" t="s">
        <v>285</v>
      </c>
      <c r="AA48" s="22">
        <v>8.643286E-2</v>
      </c>
      <c r="AB48" s="9"/>
      <c r="AC48" s="9"/>
      <c r="AD48" s="9" t="s">
        <v>285</v>
      </c>
      <c r="AE48" s="22">
        <v>9.9457690000000001E-2</v>
      </c>
      <c r="AF48" s="9"/>
      <c r="AG48" s="9"/>
      <c r="AH48" s="9" t="s">
        <v>285</v>
      </c>
      <c r="AI48" s="22">
        <v>0.12523846</v>
      </c>
    </row>
    <row r="49" spans="1:35" x14ac:dyDescent="0.2">
      <c r="A49" s="9"/>
      <c r="B49" s="14" t="s">
        <v>286</v>
      </c>
      <c r="C49" s="22">
        <v>0.89851221999999997</v>
      </c>
      <c r="D49" s="22"/>
      <c r="E49" s="9"/>
      <c r="F49" s="14" t="s">
        <v>286</v>
      </c>
      <c r="G49" s="22">
        <v>0.84512085000000003</v>
      </c>
      <c r="H49" s="9"/>
      <c r="I49" s="9"/>
      <c r="J49" s="14" t="s">
        <v>286</v>
      </c>
      <c r="K49" s="22">
        <v>0.72952399999999995</v>
      </c>
      <c r="L49" s="9"/>
      <c r="M49" s="9"/>
      <c r="N49" s="14" t="s">
        <v>286</v>
      </c>
      <c r="O49" s="22">
        <v>0.80243615000000001</v>
      </c>
      <c r="P49" s="9"/>
      <c r="Q49" s="9"/>
      <c r="R49" s="14" t="s">
        <v>286</v>
      </c>
      <c r="S49" s="22">
        <v>0.66207545999999995</v>
      </c>
      <c r="T49" s="9"/>
      <c r="U49" s="9"/>
      <c r="V49" s="14" t="s">
        <v>286</v>
      </c>
      <c r="W49" s="22">
        <v>0.54769683999999996</v>
      </c>
      <c r="X49" s="9"/>
      <c r="Y49" s="9"/>
      <c r="Z49" s="14" t="s">
        <v>286</v>
      </c>
      <c r="AA49" s="22">
        <v>0.89787516999999994</v>
      </c>
      <c r="AB49" s="9"/>
      <c r="AC49" s="9"/>
      <c r="AD49" s="14" t="s">
        <v>286</v>
      </c>
      <c r="AE49" s="22">
        <v>0.55120384</v>
      </c>
      <c r="AF49" s="9"/>
      <c r="AG49" s="9"/>
      <c r="AH49" s="14" t="s">
        <v>286</v>
      </c>
      <c r="AI49" s="22">
        <v>0.90655903999999998</v>
      </c>
    </row>
    <row r="50" spans="1:35" x14ac:dyDescent="0.2">
      <c r="A50" s="9"/>
      <c r="B50" s="16" t="s">
        <v>287</v>
      </c>
      <c r="C50" s="22">
        <v>0.75356752000000005</v>
      </c>
      <c r="D50" s="22"/>
      <c r="E50" s="9"/>
      <c r="F50" s="16" t="s">
        <v>287</v>
      </c>
      <c r="G50" s="22">
        <v>0.62947359999999997</v>
      </c>
      <c r="H50" s="9"/>
      <c r="I50" s="9"/>
      <c r="J50" s="16" t="s">
        <v>287</v>
      </c>
      <c r="K50" s="22">
        <v>0.56021089999999996</v>
      </c>
      <c r="L50" s="9"/>
      <c r="M50" s="9"/>
      <c r="N50" s="16" t="s">
        <v>287</v>
      </c>
      <c r="O50" s="22">
        <v>0.63297228999999999</v>
      </c>
      <c r="P50" s="9"/>
      <c r="Q50" s="9"/>
      <c r="R50" s="16" t="s">
        <v>287</v>
      </c>
      <c r="S50" s="22">
        <v>0.44076711000000002</v>
      </c>
      <c r="T50" s="9"/>
      <c r="U50" s="9"/>
      <c r="V50" s="16" t="s">
        <v>287</v>
      </c>
      <c r="W50" s="22">
        <v>0.18695410000000001</v>
      </c>
      <c r="X50" s="9"/>
      <c r="Y50" s="9"/>
      <c r="Z50" s="16" t="s">
        <v>287</v>
      </c>
      <c r="AA50" s="22">
        <v>0.72500945999999999</v>
      </c>
      <c r="AB50" s="9"/>
      <c r="AC50" s="9"/>
      <c r="AD50" s="16" t="s">
        <v>287</v>
      </c>
      <c r="AE50" s="22">
        <v>0.35228846000000003</v>
      </c>
      <c r="AF50" s="9"/>
      <c r="AG50" s="9"/>
      <c r="AH50" s="16" t="s">
        <v>287</v>
      </c>
      <c r="AI50" s="22">
        <v>0.65608211999999999</v>
      </c>
    </row>
    <row r="51" spans="1:35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</row>
    <row r="53" spans="1:35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</row>
    <row r="54" spans="1:35" ht="21" x14ac:dyDescent="0.25">
      <c r="A54" s="57" t="s">
        <v>320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</row>
    <row r="55" spans="1:35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</row>
    <row r="56" spans="1:35" ht="19" x14ac:dyDescent="0.25">
      <c r="A56" s="56" t="s">
        <v>274</v>
      </c>
      <c r="B56" s="56"/>
      <c r="C56" s="56"/>
      <c r="D56" s="9"/>
      <c r="E56" s="56" t="s">
        <v>288</v>
      </c>
      <c r="F56" s="56"/>
      <c r="G56" s="56"/>
      <c r="H56" s="9"/>
      <c r="I56" s="56" t="s">
        <v>301</v>
      </c>
      <c r="J56" s="56"/>
      <c r="K56" s="56"/>
      <c r="L56" s="9"/>
      <c r="M56" s="56" t="s">
        <v>302</v>
      </c>
      <c r="N56" s="56"/>
      <c r="O56" s="56"/>
      <c r="P56" s="9"/>
      <c r="Q56" s="56" t="s">
        <v>303</v>
      </c>
      <c r="R56" s="56"/>
      <c r="S56" s="56"/>
      <c r="T56" s="9"/>
      <c r="U56" s="56" t="s">
        <v>275</v>
      </c>
      <c r="V56" s="56"/>
      <c r="W56" s="56"/>
      <c r="X56" s="9"/>
      <c r="Y56" s="56" t="s">
        <v>276</v>
      </c>
      <c r="Z56" s="56"/>
      <c r="AA56" s="56"/>
      <c r="AB56" s="9"/>
      <c r="AC56" s="56" t="s">
        <v>277</v>
      </c>
      <c r="AD56" s="56"/>
      <c r="AE56" s="56"/>
      <c r="AF56" s="9"/>
      <c r="AG56" s="56" t="s">
        <v>278</v>
      </c>
      <c r="AH56" s="56"/>
      <c r="AI56" s="56"/>
    </row>
    <row r="57" spans="1:35" ht="7" customHeight="1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</row>
    <row r="58" spans="1:35" s="8" customFormat="1" x14ac:dyDescent="0.2">
      <c r="A58" s="18" t="s">
        <v>279</v>
      </c>
      <c r="B58" s="18" t="s">
        <v>271</v>
      </c>
      <c r="C58" s="18" t="s">
        <v>280</v>
      </c>
      <c r="D58" s="18"/>
      <c r="E58" s="18" t="s">
        <v>279</v>
      </c>
      <c r="F58" s="18" t="s">
        <v>271</v>
      </c>
      <c r="G58" s="18" t="s">
        <v>280</v>
      </c>
      <c r="H58" s="18"/>
      <c r="I58" s="18" t="s">
        <v>279</v>
      </c>
      <c r="J58" s="18" t="s">
        <v>271</v>
      </c>
      <c r="K58" s="18" t="s">
        <v>280</v>
      </c>
      <c r="L58" s="18"/>
      <c r="M58" s="18" t="s">
        <v>279</v>
      </c>
      <c r="N58" s="18" t="s">
        <v>271</v>
      </c>
      <c r="O58" s="18" t="s">
        <v>280</v>
      </c>
      <c r="P58" s="18"/>
      <c r="Q58" s="18" t="s">
        <v>279</v>
      </c>
      <c r="R58" s="18" t="s">
        <v>271</v>
      </c>
      <c r="S58" s="18" t="s">
        <v>280</v>
      </c>
      <c r="T58" s="18"/>
      <c r="U58" s="18" t="s">
        <v>279</v>
      </c>
      <c r="V58" s="18" t="s">
        <v>271</v>
      </c>
      <c r="W58" s="18" t="s">
        <v>280</v>
      </c>
      <c r="X58" s="18"/>
      <c r="Y58" s="18" t="s">
        <v>279</v>
      </c>
      <c r="Z58" s="18" t="s">
        <v>271</v>
      </c>
      <c r="AA58" s="18" t="s">
        <v>280</v>
      </c>
      <c r="AB58" s="18"/>
      <c r="AC58" s="18" t="s">
        <v>279</v>
      </c>
      <c r="AD58" s="18" t="s">
        <v>271</v>
      </c>
      <c r="AE58" s="18" t="s">
        <v>280</v>
      </c>
      <c r="AF58" s="18"/>
      <c r="AG58" s="18" t="s">
        <v>279</v>
      </c>
      <c r="AH58" s="18" t="s">
        <v>271</v>
      </c>
      <c r="AI58" s="18" t="s">
        <v>280</v>
      </c>
    </row>
    <row r="59" spans="1:35" x14ac:dyDescent="0.2">
      <c r="A59" s="1">
        <v>1</v>
      </c>
      <c r="B59" s="14" t="s">
        <v>120</v>
      </c>
      <c r="C59" s="21">
        <v>0.78685813000000004</v>
      </c>
      <c r="D59" s="9"/>
      <c r="E59" s="1">
        <v>1</v>
      </c>
      <c r="F59" s="14" t="s">
        <v>141</v>
      </c>
      <c r="G59" s="25">
        <v>0.71550714999999998</v>
      </c>
      <c r="H59" s="9"/>
      <c r="I59" s="1">
        <v>1</v>
      </c>
      <c r="J59" s="14" t="s">
        <v>161</v>
      </c>
      <c r="K59" s="21">
        <v>0.58447099000000002</v>
      </c>
      <c r="L59" s="9"/>
      <c r="M59" s="1">
        <v>1</v>
      </c>
      <c r="N59" s="14" t="s">
        <v>138</v>
      </c>
      <c r="O59" s="21">
        <v>0.67856342000000003</v>
      </c>
      <c r="P59" s="9"/>
      <c r="Q59" s="1">
        <v>1</v>
      </c>
      <c r="R59" s="14" t="s">
        <v>127</v>
      </c>
      <c r="S59" s="25">
        <v>0.81637022000000004</v>
      </c>
      <c r="T59" s="9"/>
      <c r="U59" s="1">
        <v>1</v>
      </c>
      <c r="V59" s="14" t="s">
        <v>189</v>
      </c>
      <c r="W59" s="21">
        <v>0.84091729000000004</v>
      </c>
      <c r="X59" s="9"/>
      <c r="Y59" s="1">
        <v>1</v>
      </c>
      <c r="Z59" s="14" t="s">
        <v>160</v>
      </c>
      <c r="AA59" s="21">
        <v>0.87255245999999997</v>
      </c>
      <c r="AB59" s="9"/>
      <c r="AC59" s="1">
        <v>1</v>
      </c>
      <c r="AD59" s="14" t="s">
        <v>189</v>
      </c>
      <c r="AE59" s="34">
        <v>0.56212240000000002</v>
      </c>
      <c r="AF59" s="9"/>
      <c r="AG59" s="1">
        <v>1</v>
      </c>
      <c r="AH59" s="14" t="s">
        <v>122</v>
      </c>
      <c r="AI59" s="21">
        <v>0.90664531000000004</v>
      </c>
    </row>
    <row r="60" spans="1:35" x14ac:dyDescent="0.2">
      <c r="A60" s="1">
        <v>2</v>
      </c>
      <c r="B60" s="14" t="s">
        <v>106</v>
      </c>
      <c r="C60" s="21">
        <v>0.74670913000000005</v>
      </c>
      <c r="D60" s="9"/>
      <c r="E60" s="1">
        <v>2</v>
      </c>
      <c r="F60" s="14" t="s">
        <v>107</v>
      </c>
      <c r="G60" s="25">
        <v>0.71286282000000001</v>
      </c>
      <c r="H60" s="9"/>
      <c r="I60" s="1">
        <v>2</v>
      </c>
      <c r="J60" s="14" t="s">
        <v>131</v>
      </c>
      <c r="K60" s="21">
        <v>0.57035329999999995</v>
      </c>
      <c r="L60" s="9"/>
      <c r="M60" s="1">
        <v>2</v>
      </c>
      <c r="N60" s="14" t="s">
        <v>208</v>
      </c>
      <c r="O60" s="21">
        <v>0.59911130000000001</v>
      </c>
      <c r="P60" s="9"/>
      <c r="Q60" s="1">
        <v>2</v>
      </c>
      <c r="R60" s="14" t="s">
        <v>147</v>
      </c>
      <c r="S60" s="25">
        <v>0.78324300000000002</v>
      </c>
      <c r="T60" s="9"/>
      <c r="U60" s="1">
        <v>2</v>
      </c>
      <c r="V60" s="14" t="s">
        <v>122</v>
      </c>
      <c r="W60" s="21">
        <v>0.66625049999999997</v>
      </c>
      <c r="X60" s="9"/>
      <c r="Y60" s="1">
        <v>2</v>
      </c>
      <c r="Z60" s="14" t="s">
        <v>123</v>
      </c>
      <c r="AA60" s="21">
        <v>0.86444774000000002</v>
      </c>
      <c r="AB60" s="9"/>
      <c r="AC60" s="1">
        <v>2</v>
      </c>
      <c r="AD60" s="14" t="s">
        <v>160</v>
      </c>
      <c r="AE60" s="34">
        <v>0.48499218999999999</v>
      </c>
      <c r="AF60" s="9"/>
      <c r="AG60" s="1">
        <v>2</v>
      </c>
      <c r="AH60" s="14" t="s">
        <v>179</v>
      </c>
      <c r="AI60" s="21">
        <v>0.89986312999999996</v>
      </c>
    </row>
    <row r="61" spans="1:35" x14ac:dyDescent="0.2">
      <c r="A61" s="1">
        <v>3</v>
      </c>
      <c r="B61" s="14" t="s">
        <v>115</v>
      </c>
      <c r="C61" s="21">
        <v>0.73907613999999999</v>
      </c>
      <c r="D61" s="9"/>
      <c r="E61" s="1">
        <v>3</v>
      </c>
      <c r="F61" s="14" t="s">
        <v>160</v>
      </c>
      <c r="G61" s="25">
        <v>0.64704262000000001</v>
      </c>
      <c r="H61" s="9"/>
      <c r="I61" s="1">
        <v>3</v>
      </c>
      <c r="J61" s="14" t="s">
        <v>187</v>
      </c>
      <c r="K61" s="21">
        <v>0.55777600000000005</v>
      </c>
      <c r="L61" s="9"/>
      <c r="M61" s="1">
        <v>3</v>
      </c>
      <c r="N61" s="14" t="s">
        <v>232</v>
      </c>
      <c r="O61" s="21">
        <v>0.58522865000000002</v>
      </c>
      <c r="P61" s="9"/>
      <c r="Q61" s="1">
        <v>3</v>
      </c>
      <c r="R61" s="14" t="s">
        <v>109</v>
      </c>
      <c r="S61" s="25">
        <v>0.77037389000000001</v>
      </c>
      <c r="T61" s="9"/>
      <c r="U61" s="1">
        <v>3</v>
      </c>
      <c r="V61" s="14" t="s">
        <v>140</v>
      </c>
      <c r="W61" s="21">
        <v>0.61258208999999997</v>
      </c>
      <c r="X61" s="9"/>
      <c r="Y61" s="1">
        <v>3</v>
      </c>
      <c r="Z61" s="14" t="s">
        <v>118</v>
      </c>
      <c r="AA61" s="21">
        <v>0.85350415000000002</v>
      </c>
      <c r="AB61" s="9"/>
      <c r="AC61" s="1">
        <v>3</v>
      </c>
      <c r="AD61" s="14" t="s">
        <v>179</v>
      </c>
      <c r="AE61" s="34">
        <v>0.45076549999999999</v>
      </c>
      <c r="AF61" s="9"/>
      <c r="AG61" s="1">
        <v>3</v>
      </c>
      <c r="AH61" s="14" t="s">
        <v>120</v>
      </c>
      <c r="AI61" s="21">
        <v>0.89640651999999998</v>
      </c>
    </row>
    <row r="62" spans="1:35" x14ac:dyDescent="0.2">
      <c r="A62" s="1">
        <v>4</v>
      </c>
      <c r="B62" s="14" t="s">
        <v>131</v>
      </c>
      <c r="C62" s="21">
        <v>0.73675891000000004</v>
      </c>
      <c r="D62" s="9"/>
      <c r="E62" s="1">
        <v>4</v>
      </c>
      <c r="F62" s="14" t="s">
        <v>131</v>
      </c>
      <c r="G62" s="25">
        <v>0.64491029</v>
      </c>
      <c r="H62" s="9"/>
      <c r="I62" s="1">
        <v>4</v>
      </c>
      <c r="J62" s="14" t="s">
        <v>118</v>
      </c>
      <c r="K62" s="21">
        <v>0.54410676999999996</v>
      </c>
      <c r="L62" s="9"/>
      <c r="M62" s="1">
        <v>4</v>
      </c>
      <c r="N62" s="14" t="s">
        <v>118</v>
      </c>
      <c r="O62" s="21">
        <v>0.58021283000000001</v>
      </c>
      <c r="P62" s="9"/>
      <c r="Q62" s="1">
        <v>4</v>
      </c>
      <c r="R62" s="14" t="s">
        <v>163</v>
      </c>
      <c r="S62" s="25">
        <v>0.76771012000000005</v>
      </c>
      <c r="T62" s="9"/>
      <c r="U62" s="1">
        <v>4</v>
      </c>
      <c r="V62" s="14" t="s">
        <v>139</v>
      </c>
      <c r="W62" s="21">
        <v>0.51933320000000005</v>
      </c>
      <c r="X62" s="9"/>
      <c r="Y62" s="1">
        <v>4</v>
      </c>
      <c r="Z62" s="14" t="s">
        <v>229</v>
      </c>
      <c r="AA62" s="21">
        <v>0.80249950000000003</v>
      </c>
      <c r="AB62" s="9"/>
      <c r="AC62" s="1">
        <v>4</v>
      </c>
      <c r="AD62" s="14" t="s">
        <v>229</v>
      </c>
      <c r="AE62" s="34">
        <v>0.39079944999999999</v>
      </c>
      <c r="AF62" s="9"/>
      <c r="AG62" s="1">
        <v>4</v>
      </c>
      <c r="AH62" s="14" t="s">
        <v>139</v>
      </c>
      <c r="AI62" s="21">
        <v>0.84578043000000003</v>
      </c>
    </row>
    <row r="63" spans="1:35" x14ac:dyDescent="0.2">
      <c r="A63" s="1">
        <v>5</v>
      </c>
      <c r="B63" s="14" t="s">
        <v>289</v>
      </c>
      <c r="C63" s="21">
        <v>0.72076956999999997</v>
      </c>
      <c r="D63" s="9"/>
      <c r="E63" s="1">
        <v>5</v>
      </c>
      <c r="F63" s="14" t="s">
        <v>182</v>
      </c>
      <c r="G63" s="25">
        <v>0.64007009999999998</v>
      </c>
      <c r="H63" s="9"/>
      <c r="I63" s="1">
        <v>5</v>
      </c>
      <c r="J63" s="14" t="s">
        <v>151</v>
      </c>
      <c r="K63" s="21">
        <v>0.54179661000000001</v>
      </c>
      <c r="L63" s="9"/>
      <c r="M63" s="1">
        <v>5</v>
      </c>
      <c r="N63" s="14" t="s">
        <v>290</v>
      </c>
      <c r="O63" s="21">
        <v>0.57220448999999995</v>
      </c>
      <c r="P63" s="9"/>
      <c r="Q63" s="1">
        <v>5</v>
      </c>
      <c r="R63" s="14" t="s">
        <v>120</v>
      </c>
      <c r="S63" s="25">
        <v>0.73586773999999999</v>
      </c>
      <c r="T63" s="9"/>
      <c r="U63" s="1">
        <v>5</v>
      </c>
      <c r="V63" s="14" t="s">
        <v>222</v>
      </c>
      <c r="W63" s="21">
        <v>0.51370499999999997</v>
      </c>
      <c r="X63" s="9"/>
      <c r="Y63" s="1">
        <v>5</v>
      </c>
      <c r="Z63" s="14" t="s">
        <v>290</v>
      </c>
      <c r="AA63" s="21">
        <v>0.76649548999999995</v>
      </c>
      <c r="AB63" s="9"/>
      <c r="AC63" s="1">
        <v>5</v>
      </c>
      <c r="AD63" s="14" t="s">
        <v>148</v>
      </c>
      <c r="AE63" s="34">
        <v>0.38072552999999998</v>
      </c>
      <c r="AF63" s="9"/>
      <c r="AG63" s="1">
        <v>5</v>
      </c>
      <c r="AH63" s="14" t="s">
        <v>148</v>
      </c>
      <c r="AI63" s="21">
        <v>0.83893419000000002</v>
      </c>
    </row>
    <row r="64" spans="1:35" x14ac:dyDescent="0.2">
      <c r="A64" s="1">
        <v>6</v>
      </c>
      <c r="B64" s="14" t="s">
        <v>232</v>
      </c>
      <c r="C64" s="21">
        <v>0.71828219999999998</v>
      </c>
      <c r="D64" s="9"/>
      <c r="E64" s="1">
        <v>6</v>
      </c>
      <c r="F64" s="14" t="s">
        <v>115</v>
      </c>
      <c r="G64" s="25">
        <v>0.63300778000000002</v>
      </c>
      <c r="H64" s="9"/>
      <c r="I64" s="1">
        <v>6</v>
      </c>
      <c r="J64" s="14" t="s">
        <v>185</v>
      </c>
      <c r="K64" s="21">
        <v>0.52970384999999998</v>
      </c>
      <c r="L64" s="9"/>
      <c r="M64" s="1">
        <v>6</v>
      </c>
      <c r="N64" s="14" t="s">
        <v>135</v>
      </c>
      <c r="O64" s="21">
        <v>0.57212540000000001</v>
      </c>
      <c r="P64" s="9"/>
      <c r="Q64" s="1">
        <v>6</v>
      </c>
      <c r="R64" s="14" t="s">
        <v>240</v>
      </c>
      <c r="S64" s="25">
        <v>0.73568352000000004</v>
      </c>
      <c r="T64" s="9"/>
      <c r="U64" s="1">
        <v>6</v>
      </c>
      <c r="V64" s="14" t="s">
        <v>137</v>
      </c>
      <c r="W64" s="21">
        <v>0.49253135999999997</v>
      </c>
      <c r="X64" s="9"/>
      <c r="Y64" s="1">
        <v>6</v>
      </c>
      <c r="Z64" s="14" t="s">
        <v>115</v>
      </c>
      <c r="AA64" s="21">
        <v>0.76384658000000005</v>
      </c>
      <c r="AB64" s="9"/>
      <c r="AC64" s="1">
        <v>6</v>
      </c>
      <c r="AD64" s="14" t="s">
        <v>291</v>
      </c>
      <c r="AE64" s="34">
        <v>0.37638896999999999</v>
      </c>
      <c r="AF64" s="9"/>
      <c r="AG64" s="1">
        <v>6</v>
      </c>
      <c r="AH64" s="14" t="s">
        <v>228</v>
      </c>
      <c r="AI64" s="21">
        <v>0.83256551999999995</v>
      </c>
    </row>
    <row r="65" spans="1:35" x14ac:dyDescent="0.2">
      <c r="A65" s="1">
        <v>7</v>
      </c>
      <c r="B65" s="14" t="s">
        <v>160</v>
      </c>
      <c r="C65" s="21">
        <v>0.71231436999999997</v>
      </c>
      <c r="D65" s="9"/>
      <c r="E65" s="1">
        <v>7</v>
      </c>
      <c r="F65" s="14" t="s">
        <v>138</v>
      </c>
      <c r="G65" s="25">
        <v>0.61652258000000004</v>
      </c>
      <c r="H65" s="9"/>
      <c r="I65" s="1">
        <v>7</v>
      </c>
      <c r="J65" s="14" t="s">
        <v>203</v>
      </c>
      <c r="K65" s="21">
        <v>0.51745390999999996</v>
      </c>
      <c r="L65" s="9"/>
      <c r="M65" s="1">
        <v>7</v>
      </c>
      <c r="N65" s="14" t="s">
        <v>123</v>
      </c>
      <c r="O65" s="21">
        <v>0.56937302000000001</v>
      </c>
      <c r="P65" s="9"/>
      <c r="Q65" s="1">
        <v>7</v>
      </c>
      <c r="R65" s="14" t="s">
        <v>156</v>
      </c>
      <c r="S65" s="25">
        <v>0.71964243000000006</v>
      </c>
      <c r="T65" s="9"/>
      <c r="U65" s="1">
        <v>7</v>
      </c>
      <c r="V65" s="14" t="s">
        <v>183</v>
      </c>
      <c r="W65" s="21">
        <v>0.4670975</v>
      </c>
      <c r="X65" s="9"/>
      <c r="Y65" s="1">
        <v>7</v>
      </c>
      <c r="Z65" s="14" t="s">
        <v>177</v>
      </c>
      <c r="AA65" s="21">
        <v>0.75052178000000003</v>
      </c>
      <c r="AB65" s="9"/>
      <c r="AC65" s="1">
        <v>7</v>
      </c>
      <c r="AD65" s="14" t="s">
        <v>156</v>
      </c>
      <c r="AE65" s="34">
        <v>0.36866204000000002</v>
      </c>
      <c r="AF65" s="9"/>
      <c r="AG65" s="1">
        <v>7</v>
      </c>
      <c r="AH65" s="14" t="s">
        <v>202</v>
      </c>
      <c r="AI65" s="21">
        <v>0.82747815999999996</v>
      </c>
    </row>
    <row r="66" spans="1:35" x14ac:dyDescent="0.2">
      <c r="A66" s="1">
        <v>8</v>
      </c>
      <c r="B66" s="14" t="s">
        <v>139</v>
      </c>
      <c r="C66" s="21">
        <v>0.70182973999999998</v>
      </c>
      <c r="D66" s="9"/>
      <c r="E66" s="1">
        <v>8</v>
      </c>
      <c r="F66" s="14" t="s">
        <v>109</v>
      </c>
      <c r="G66" s="25">
        <v>0.61173752000000003</v>
      </c>
      <c r="H66" s="9"/>
      <c r="I66" s="1">
        <v>8</v>
      </c>
      <c r="J66" s="14" t="s">
        <v>253</v>
      </c>
      <c r="K66" s="21">
        <v>0.51737162999999997</v>
      </c>
      <c r="L66" s="9"/>
      <c r="M66" s="1">
        <v>8</v>
      </c>
      <c r="N66" s="14" t="s">
        <v>177</v>
      </c>
      <c r="O66" s="21">
        <v>0.56757117999999995</v>
      </c>
      <c r="P66" s="9"/>
      <c r="Q66" s="1">
        <v>8</v>
      </c>
      <c r="R66" s="14" t="s">
        <v>155</v>
      </c>
      <c r="S66" s="25">
        <v>0.68910534000000001</v>
      </c>
      <c r="T66" s="9"/>
      <c r="U66" s="1">
        <v>8</v>
      </c>
      <c r="V66" s="14" t="s">
        <v>228</v>
      </c>
      <c r="W66" s="21">
        <v>0.44158135999999998</v>
      </c>
      <c r="X66" s="9"/>
      <c r="Y66" s="1">
        <v>8</v>
      </c>
      <c r="Z66" s="14" t="s">
        <v>289</v>
      </c>
      <c r="AA66" s="21">
        <v>0.74591132000000004</v>
      </c>
      <c r="AB66" s="9"/>
      <c r="AC66" s="1">
        <v>8</v>
      </c>
      <c r="AD66" s="14" t="s">
        <v>182</v>
      </c>
      <c r="AE66" s="34">
        <v>0.36397513999999997</v>
      </c>
      <c r="AF66" s="9"/>
      <c r="AG66" s="1">
        <v>8</v>
      </c>
      <c r="AH66" s="14" t="s">
        <v>229</v>
      </c>
      <c r="AI66" s="21">
        <v>0.81543681000000001</v>
      </c>
    </row>
    <row r="67" spans="1:35" x14ac:dyDescent="0.2">
      <c r="A67" s="1">
        <v>9</v>
      </c>
      <c r="B67" s="14" t="s">
        <v>192</v>
      </c>
      <c r="C67" s="21">
        <v>0.68931394000000001</v>
      </c>
      <c r="D67" s="9"/>
      <c r="E67" s="1">
        <v>9</v>
      </c>
      <c r="F67" s="14" t="s">
        <v>192</v>
      </c>
      <c r="G67" s="25">
        <v>0.60526058000000005</v>
      </c>
      <c r="H67" s="9"/>
      <c r="I67" s="1">
        <v>9</v>
      </c>
      <c r="J67" s="14" t="s">
        <v>232</v>
      </c>
      <c r="K67" s="21">
        <v>0.49693124999999999</v>
      </c>
      <c r="L67" s="9"/>
      <c r="M67" s="1">
        <v>9</v>
      </c>
      <c r="N67" s="14" t="s">
        <v>211</v>
      </c>
      <c r="O67" s="21">
        <v>0.56680615000000001</v>
      </c>
      <c r="P67" s="9"/>
      <c r="Q67" s="1">
        <v>9</v>
      </c>
      <c r="R67" s="14" t="s">
        <v>107</v>
      </c>
      <c r="S67" s="25">
        <v>0.66884573999999997</v>
      </c>
      <c r="T67" s="9"/>
      <c r="U67" s="1">
        <v>9</v>
      </c>
      <c r="V67" s="14" t="s">
        <v>291</v>
      </c>
      <c r="W67" s="21">
        <v>0.42449329000000002</v>
      </c>
      <c r="X67" s="9"/>
      <c r="Y67" s="1">
        <v>9</v>
      </c>
      <c r="Z67" s="14" t="s">
        <v>179</v>
      </c>
      <c r="AA67" s="21">
        <v>0.74474059999999997</v>
      </c>
      <c r="AB67" s="9"/>
      <c r="AC67" s="1">
        <v>9</v>
      </c>
      <c r="AD67" s="14" t="s">
        <v>140</v>
      </c>
      <c r="AE67" s="34">
        <v>0.36312773999999998</v>
      </c>
      <c r="AF67" s="9"/>
      <c r="AG67" s="1">
        <v>9</v>
      </c>
      <c r="AH67" s="14" t="s">
        <v>140</v>
      </c>
      <c r="AI67" s="21">
        <v>0.81301398000000002</v>
      </c>
    </row>
    <row r="68" spans="1:35" x14ac:dyDescent="0.2">
      <c r="A68" s="1">
        <v>10</v>
      </c>
      <c r="B68" s="14" t="s">
        <v>178</v>
      </c>
      <c r="C68" s="21">
        <v>0.68874060000000004</v>
      </c>
      <c r="D68" s="9"/>
      <c r="E68" s="1">
        <v>10</v>
      </c>
      <c r="F68" s="14" t="s">
        <v>158</v>
      </c>
      <c r="G68" s="25">
        <v>0.59416681000000005</v>
      </c>
      <c r="H68" s="9"/>
      <c r="I68" s="1">
        <v>10</v>
      </c>
      <c r="J68" s="14" t="s">
        <v>177</v>
      </c>
      <c r="K68" s="21">
        <v>0.49171779999999998</v>
      </c>
      <c r="L68" s="9"/>
      <c r="M68" s="1">
        <v>10</v>
      </c>
      <c r="N68" s="14" t="s">
        <v>115</v>
      </c>
      <c r="O68" s="21">
        <v>0.56421195999999996</v>
      </c>
      <c r="P68" s="9"/>
      <c r="Q68" s="1">
        <v>10</v>
      </c>
      <c r="R68" s="14" t="s">
        <v>259</v>
      </c>
      <c r="S68" s="25">
        <v>0.59734993999999997</v>
      </c>
      <c r="T68" s="9"/>
      <c r="U68" s="1">
        <v>10</v>
      </c>
      <c r="V68" s="14" t="s">
        <v>157</v>
      </c>
      <c r="W68" s="21">
        <v>0.42223926000000001</v>
      </c>
      <c r="X68" s="9"/>
      <c r="Y68" s="1">
        <v>10</v>
      </c>
      <c r="Z68" s="14" t="s">
        <v>168</v>
      </c>
      <c r="AA68" s="21">
        <v>0.72325205000000004</v>
      </c>
      <c r="AB68" s="9"/>
      <c r="AC68" s="1">
        <v>10</v>
      </c>
      <c r="AD68" s="14" t="s">
        <v>122</v>
      </c>
      <c r="AE68" s="34">
        <v>0.35112259000000001</v>
      </c>
      <c r="AF68" s="9"/>
      <c r="AG68" s="1">
        <v>10</v>
      </c>
      <c r="AH68" s="14" t="s">
        <v>137</v>
      </c>
      <c r="AI68" s="21">
        <v>0.80402154999999997</v>
      </c>
    </row>
    <row r="69" spans="1:35" x14ac:dyDescent="0.2">
      <c r="A69" s="1">
        <v>11</v>
      </c>
      <c r="B69" s="14" t="s">
        <v>151</v>
      </c>
      <c r="C69" s="21">
        <v>0.68688594000000003</v>
      </c>
      <c r="D69" s="9"/>
      <c r="E69" s="1">
        <v>11</v>
      </c>
      <c r="F69" s="14" t="s">
        <v>120</v>
      </c>
      <c r="G69" s="25">
        <v>0.59189192000000002</v>
      </c>
      <c r="H69" s="9"/>
      <c r="I69" s="1">
        <v>11</v>
      </c>
      <c r="J69" s="14" t="s">
        <v>138</v>
      </c>
      <c r="K69" s="21">
        <v>0.48674276999999999</v>
      </c>
      <c r="L69" s="9"/>
      <c r="M69" s="1">
        <v>11</v>
      </c>
      <c r="N69" s="14" t="s">
        <v>189</v>
      </c>
      <c r="O69" s="21">
        <v>0.55365257000000001</v>
      </c>
      <c r="P69" s="9"/>
      <c r="Q69" s="1">
        <v>11</v>
      </c>
      <c r="R69" s="14" t="s">
        <v>171</v>
      </c>
      <c r="S69" s="25">
        <v>0.59558906</v>
      </c>
      <c r="T69" s="9"/>
      <c r="U69" s="1">
        <v>11</v>
      </c>
      <c r="V69" s="14" t="s">
        <v>167</v>
      </c>
      <c r="W69" s="21">
        <v>0.4119623</v>
      </c>
      <c r="X69" s="9"/>
      <c r="Y69" s="1">
        <v>11</v>
      </c>
      <c r="Z69" s="14" t="s">
        <v>187</v>
      </c>
      <c r="AA69" s="21">
        <v>0.71740722000000001</v>
      </c>
      <c r="AB69" s="9"/>
      <c r="AC69" s="1">
        <v>11</v>
      </c>
      <c r="AD69" s="14" t="s">
        <v>132</v>
      </c>
      <c r="AE69" s="34">
        <v>0.34492591</v>
      </c>
      <c r="AF69" s="9"/>
      <c r="AG69" s="1">
        <v>11</v>
      </c>
      <c r="AH69" s="14" t="s">
        <v>183</v>
      </c>
      <c r="AI69" s="21">
        <v>0.79249853999999997</v>
      </c>
    </row>
    <row r="70" spans="1:35" x14ac:dyDescent="0.2">
      <c r="A70" s="1">
        <v>12</v>
      </c>
      <c r="B70" s="14" t="s">
        <v>230</v>
      </c>
      <c r="C70" s="21">
        <v>0.68466660999999995</v>
      </c>
      <c r="D70" s="9"/>
      <c r="E70" s="1">
        <v>12</v>
      </c>
      <c r="F70" s="14" t="s">
        <v>132</v>
      </c>
      <c r="G70" s="25">
        <v>0.58968421000000004</v>
      </c>
      <c r="H70" s="9"/>
      <c r="I70" s="1">
        <v>12</v>
      </c>
      <c r="J70" s="14" t="s">
        <v>123</v>
      </c>
      <c r="K70" s="21">
        <v>0.48462640000000001</v>
      </c>
      <c r="L70" s="9"/>
      <c r="M70" s="1">
        <v>12</v>
      </c>
      <c r="N70" s="14" t="s">
        <v>253</v>
      </c>
      <c r="O70" s="21">
        <v>0.55312481999999996</v>
      </c>
      <c r="P70" s="9"/>
      <c r="Q70" s="1">
        <v>12</v>
      </c>
      <c r="R70" s="14" t="s">
        <v>237</v>
      </c>
      <c r="S70" s="25">
        <v>0.59547784000000004</v>
      </c>
      <c r="T70" s="9"/>
      <c r="U70" s="1">
        <v>12</v>
      </c>
      <c r="V70" s="14" t="s">
        <v>156</v>
      </c>
      <c r="W70" s="21">
        <v>0.40920352999999998</v>
      </c>
      <c r="X70" s="9"/>
      <c r="Y70" s="1">
        <v>12</v>
      </c>
      <c r="Z70" s="14" t="s">
        <v>132</v>
      </c>
      <c r="AA70" s="21">
        <v>0.71596042999999998</v>
      </c>
      <c r="AB70" s="9"/>
      <c r="AC70" s="1">
        <v>12</v>
      </c>
      <c r="AD70" s="14" t="s">
        <v>232</v>
      </c>
      <c r="AE70" s="34">
        <v>0.34125944000000002</v>
      </c>
      <c r="AF70" s="9"/>
      <c r="AG70" s="1">
        <v>12</v>
      </c>
      <c r="AH70" s="14" t="s">
        <v>203</v>
      </c>
      <c r="AI70" s="21">
        <v>0.79208212</v>
      </c>
    </row>
    <row r="71" spans="1:35" x14ac:dyDescent="0.2">
      <c r="A71" s="1">
        <v>13</v>
      </c>
      <c r="B71" s="14" t="s">
        <v>144</v>
      </c>
      <c r="C71" s="21">
        <v>0.68373592999999999</v>
      </c>
      <c r="D71" s="9"/>
      <c r="E71" s="1">
        <v>13</v>
      </c>
      <c r="F71" s="14" t="s">
        <v>149</v>
      </c>
      <c r="G71" s="25">
        <v>0.58701369999999997</v>
      </c>
      <c r="H71" s="9"/>
      <c r="I71" s="1">
        <v>13</v>
      </c>
      <c r="J71" s="14" t="s">
        <v>190</v>
      </c>
      <c r="K71" s="21">
        <v>0.48102781</v>
      </c>
      <c r="L71" s="9"/>
      <c r="M71" s="1">
        <v>13</v>
      </c>
      <c r="N71" s="14" t="s">
        <v>199</v>
      </c>
      <c r="O71" s="21">
        <v>0.54474690999999997</v>
      </c>
      <c r="P71" s="9"/>
      <c r="Q71" s="1">
        <v>13</v>
      </c>
      <c r="R71" s="14" t="s">
        <v>224</v>
      </c>
      <c r="S71" s="25">
        <v>0.59471114999999997</v>
      </c>
      <c r="T71" s="9"/>
      <c r="U71" s="1">
        <v>13</v>
      </c>
      <c r="V71" s="14" t="s">
        <v>159</v>
      </c>
      <c r="W71" s="21">
        <v>0.40641461000000001</v>
      </c>
      <c r="X71" s="9"/>
      <c r="Y71" s="1">
        <v>13</v>
      </c>
      <c r="Z71" s="14" t="s">
        <v>162</v>
      </c>
      <c r="AA71" s="21">
        <v>0.71501345999999999</v>
      </c>
      <c r="AB71" s="9"/>
      <c r="AC71" s="1">
        <v>13</v>
      </c>
      <c r="AD71" s="14" t="s">
        <v>120</v>
      </c>
      <c r="AE71" s="34">
        <v>0.33996194000000002</v>
      </c>
      <c r="AF71" s="9"/>
      <c r="AG71" s="1">
        <v>13</v>
      </c>
      <c r="AH71" s="14" t="s">
        <v>156</v>
      </c>
      <c r="AI71" s="21">
        <v>0.78799942000000001</v>
      </c>
    </row>
    <row r="72" spans="1:35" x14ac:dyDescent="0.2">
      <c r="A72" s="1">
        <v>14</v>
      </c>
      <c r="B72" s="14" t="s">
        <v>132</v>
      </c>
      <c r="C72" s="21">
        <v>0.68353828999999999</v>
      </c>
      <c r="D72" s="9"/>
      <c r="E72" s="1">
        <v>14</v>
      </c>
      <c r="F72" s="14" t="s">
        <v>199</v>
      </c>
      <c r="G72" s="25">
        <v>0.57003696000000004</v>
      </c>
      <c r="H72" s="9"/>
      <c r="I72" s="1">
        <v>14</v>
      </c>
      <c r="J72" s="14" t="s">
        <v>115</v>
      </c>
      <c r="K72" s="21">
        <v>0.47954521999999999</v>
      </c>
      <c r="L72" s="9"/>
      <c r="M72" s="1">
        <v>14</v>
      </c>
      <c r="N72" s="14" t="s">
        <v>187</v>
      </c>
      <c r="O72" s="21">
        <v>0.54046017000000002</v>
      </c>
      <c r="P72" s="9"/>
      <c r="Q72" s="1">
        <v>14</v>
      </c>
      <c r="R72" s="14" t="s">
        <v>144</v>
      </c>
      <c r="S72" s="25">
        <v>0.59010138000000001</v>
      </c>
      <c r="T72" s="9"/>
      <c r="U72" s="1">
        <v>14</v>
      </c>
      <c r="V72" s="14" t="s">
        <v>202</v>
      </c>
      <c r="W72" s="21">
        <v>0.40455733999999999</v>
      </c>
      <c r="X72" s="9"/>
      <c r="Y72" s="1">
        <v>14</v>
      </c>
      <c r="Z72" s="14" t="s">
        <v>120</v>
      </c>
      <c r="AA72" s="21">
        <v>0.70713296999999997</v>
      </c>
      <c r="AB72" s="9"/>
      <c r="AC72" s="1">
        <v>14</v>
      </c>
      <c r="AD72" s="14" t="s">
        <v>138</v>
      </c>
      <c r="AE72" s="34">
        <v>0.33361826</v>
      </c>
      <c r="AF72" s="9"/>
      <c r="AG72" s="1">
        <v>14</v>
      </c>
      <c r="AH72" s="14" t="s">
        <v>115</v>
      </c>
      <c r="AI72" s="21">
        <v>0.77814211</v>
      </c>
    </row>
    <row r="73" spans="1:35" x14ac:dyDescent="0.2">
      <c r="A73" s="1">
        <v>15</v>
      </c>
      <c r="B73" s="14" t="s">
        <v>244</v>
      </c>
      <c r="C73" s="21">
        <v>0.67777012999999997</v>
      </c>
      <c r="D73" s="9"/>
      <c r="E73" s="1">
        <v>15</v>
      </c>
      <c r="F73" s="14" t="s">
        <v>244</v>
      </c>
      <c r="G73" s="25">
        <v>0.56640908000000001</v>
      </c>
      <c r="H73" s="9"/>
      <c r="I73" s="1">
        <v>15</v>
      </c>
      <c r="J73" s="14" t="s">
        <v>144</v>
      </c>
      <c r="K73" s="21">
        <v>0.45571559</v>
      </c>
      <c r="L73" s="9"/>
      <c r="M73" s="1">
        <v>15</v>
      </c>
      <c r="N73" s="14" t="s">
        <v>225</v>
      </c>
      <c r="O73" s="21">
        <v>0.54006471</v>
      </c>
      <c r="P73" s="9"/>
      <c r="Q73" s="1">
        <v>15</v>
      </c>
      <c r="R73" s="14" t="s">
        <v>132</v>
      </c>
      <c r="S73" s="25">
        <v>0.58470789999999995</v>
      </c>
      <c r="T73" s="9"/>
      <c r="U73" s="1">
        <v>15</v>
      </c>
      <c r="V73" s="14" t="s">
        <v>203</v>
      </c>
      <c r="W73" s="21">
        <v>0.38083845999999999</v>
      </c>
      <c r="X73" s="9"/>
      <c r="Y73" s="1">
        <v>15</v>
      </c>
      <c r="Z73" s="14" t="s">
        <v>225</v>
      </c>
      <c r="AA73" s="21">
        <v>0.68467140000000004</v>
      </c>
      <c r="AB73" s="9"/>
      <c r="AC73" s="1">
        <v>15</v>
      </c>
      <c r="AD73" s="14" t="s">
        <v>202</v>
      </c>
      <c r="AE73" s="34">
        <v>0.31551911999999999</v>
      </c>
      <c r="AF73" s="9"/>
      <c r="AG73" s="1">
        <v>15</v>
      </c>
      <c r="AH73" s="14" t="s">
        <v>180</v>
      </c>
      <c r="AI73" s="21">
        <v>0.76237624000000004</v>
      </c>
    </row>
    <row r="74" spans="1:35" x14ac:dyDescent="0.2">
      <c r="A74" s="1">
        <v>16</v>
      </c>
      <c r="B74" s="14" t="s">
        <v>137</v>
      </c>
      <c r="C74" s="21">
        <v>0.67665944</v>
      </c>
      <c r="D74" s="9"/>
      <c r="E74" s="1">
        <v>16</v>
      </c>
      <c r="F74" s="14" t="s">
        <v>123</v>
      </c>
      <c r="G74" s="25">
        <v>0.56161797999999996</v>
      </c>
      <c r="H74" s="9"/>
      <c r="I74" s="1">
        <v>16</v>
      </c>
      <c r="J74" s="14" t="s">
        <v>229</v>
      </c>
      <c r="K74" s="21">
        <v>0.45550333999999998</v>
      </c>
      <c r="L74" s="9"/>
      <c r="M74" s="1">
        <v>16</v>
      </c>
      <c r="N74" s="14" t="s">
        <v>220</v>
      </c>
      <c r="O74" s="21">
        <v>0.53887978000000003</v>
      </c>
      <c r="P74" s="9"/>
      <c r="Q74" s="1">
        <v>16</v>
      </c>
      <c r="R74" s="14" t="s">
        <v>167</v>
      </c>
      <c r="S74" s="25">
        <v>0.58067769999999996</v>
      </c>
      <c r="T74" s="9"/>
      <c r="U74" s="1">
        <v>16</v>
      </c>
      <c r="V74" s="14" t="s">
        <v>130</v>
      </c>
      <c r="W74" s="21">
        <v>0.37646508000000001</v>
      </c>
      <c r="X74" s="9"/>
      <c r="Y74" s="1">
        <v>16</v>
      </c>
      <c r="Z74" s="14" t="s">
        <v>122</v>
      </c>
      <c r="AA74" s="21">
        <v>0.68210378000000005</v>
      </c>
      <c r="AB74" s="9"/>
      <c r="AC74" s="1">
        <v>16</v>
      </c>
      <c r="AD74" s="14" t="s">
        <v>141</v>
      </c>
      <c r="AE74" s="34">
        <v>0.31505597000000002</v>
      </c>
      <c r="AF74" s="9"/>
      <c r="AG74" s="1">
        <v>16</v>
      </c>
      <c r="AH74" s="14" t="s">
        <v>291</v>
      </c>
      <c r="AI74" s="21">
        <v>0.76163365999999999</v>
      </c>
    </row>
    <row r="75" spans="1:35" x14ac:dyDescent="0.2">
      <c r="A75" s="1">
        <v>17</v>
      </c>
      <c r="B75" s="14" t="s">
        <v>158</v>
      </c>
      <c r="C75" s="21">
        <v>0.67432188999999998</v>
      </c>
      <c r="D75" s="9"/>
      <c r="E75" s="1">
        <v>17</v>
      </c>
      <c r="F75" s="14" t="s">
        <v>257</v>
      </c>
      <c r="G75" s="25">
        <v>0.55576307999999996</v>
      </c>
      <c r="H75" s="9"/>
      <c r="I75" s="1">
        <v>17</v>
      </c>
      <c r="J75" s="14" t="s">
        <v>182</v>
      </c>
      <c r="K75" s="21">
        <v>0.44516091000000002</v>
      </c>
      <c r="L75" s="9"/>
      <c r="M75" s="1">
        <v>17</v>
      </c>
      <c r="N75" s="14" t="s">
        <v>192</v>
      </c>
      <c r="O75" s="21">
        <v>0.53294363</v>
      </c>
      <c r="P75" s="9"/>
      <c r="Q75" s="1">
        <v>17</v>
      </c>
      <c r="R75" s="14" t="s">
        <v>217</v>
      </c>
      <c r="S75" s="25">
        <v>0.57296798999999998</v>
      </c>
      <c r="T75" s="9"/>
      <c r="U75" s="1">
        <v>17</v>
      </c>
      <c r="V75" s="14" t="s">
        <v>194</v>
      </c>
      <c r="W75" s="21">
        <v>0.36678198000000001</v>
      </c>
      <c r="X75" s="9"/>
      <c r="Y75" s="1">
        <v>17</v>
      </c>
      <c r="Z75" s="14" t="s">
        <v>139</v>
      </c>
      <c r="AA75" s="21">
        <v>0.67626359999999996</v>
      </c>
      <c r="AB75" s="9"/>
      <c r="AC75" s="1">
        <v>17</v>
      </c>
      <c r="AD75" s="14" t="s">
        <v>181</v>
      </c>
      <c r="AE75" s="34">
        <v>0.31249523000000001</v>
      </c>
      <c r="AF75" s="9"/>
      <c r="AG75" s="1">
        <v>17</v>
      </c>
      <c r="AH75" s="14" t="s">
        <v>145</v>
      </c>
      <c r="AI75" s="21">
        <v>0.74180546999999997</v>
      </c>
    </row>
    <row r="76" spans="1:35" x14ac:dyDescent="0.2">
      <c r="A76" s="1">
        <v>18</v>
      </c>
      <c r="B76" s="14" t="s">
        <v>208</v>
      </c>
      <c r="C76" s="21">
        <v>0.67262759999999999</v>
      </c>
      <c r="D76" s="9"/>
      <c r="E76" s="1">
        <v>18</v>
      </c>
      <c r="F76" s="14" t="s">
        <v>147</v>
      </c>
      <c r="G76" s="25">
        <v>0.55403506000000002</v>
      </c>
      <c r="H76" s="9"/>
      <c r="I76" s="1">
        <v>18</v>
      </c>
      <c r="J76" s="14" t="s">
        <v>159</v>
      </c>
      <c r="K76" s="21">
        <v>0.44080501</v>
      </c>
      <c r="L76" s="9"/>
      <c r="M76" s="1">
        <v>18</v>
      </c>
      <c r="N76" s="14" t="s">
        <v>179</v>
      </c>
      <c r="O76" s="21">
        <v>0.52968651</v>
      </c>
      <c r="P76" s="9"/>
      <c r="Q76" s="1">
        <v>18</v>
      </c>
      <c r="R76" s="14" t="s">
        <v>115</v>
      </c>
      <c r="S76" s="25">
        <v>0.56856156000000002</v>
      </c>
      <c r="T76" s="9"/>
      <c r="U76" s="1">
        <v>18</v>
      </c>
      <c r="V76" s="14" t="s">
        <v>289</v>
      </c>
      <c r="W76" s="21">
        <v>0.35896452000000001</v>
      </c>
      <c r="X76" s="9"/>
      <c r="Y76" s="1">
        <v>18</v>
      </c>
      <c r="Z76" s="14" t="s">
        <v>190</v>
      </c>
      <c r="AA76" s="21">
        <v>0.67579319000000004</v>
      </c>
      <c r="AB76" s="9"/>
      <c r="AC76" s="1">
        <v>18</v>
      </c>
      <c r="AD76" s="14" t="s">
        <v>115</v>
      </c>
      <c r="AE76" s="34">
        <v>0.31093875999999998</v>
      </c>
      <c r="AF76" s="9"/>
      <c r="AG76" s="1">
        <v>18</v>
      </c>
      <c r="AH76" s="14" t="s">
        <v>189</v>
      </c>
      <c r="AI76" s="21">
        <v>0.73723645999999998</v>
      </c>
    </row>
    <row r="77" spans="1:35" x14ac:dyDescent="0.2">
      <c r="A77" s="1">
        <v>19</v>
      </c>
      <c r="B77" s="14" t="s">
        <v>185</v>
      </c>
      <c r="C77" s="21">
        <v>0.67087364999999999</v>
      </c>
      <c r="D77" s="9"/>
      <c r="E77" s="1">
        <v>19</v>
      </c>
      <c r="F77" s="9" t="s">
        <v>135</v>
      </c>
      <c r="G77" s="26">
        <v>0.55104962000000002</v>
      </c>
      <c r="H77" s="9"/>
      <c r="I77" s="1">
        <v>19</v>
      </c>
      <c r="J77" s="14" t="s">
        <v>289</v>
      </c>
      <c r="K77" s="21">
        <v>0.43951582</v>
      </c>
      <c r="L77" s="9"/>
      <c r="M77" s="1">
        <v>19</v>
      </c>
      <c r="N77" s="14" t="s">
        <v>120</v>
      </c>
      <c r="O77" s="21">
        <v>0.52963042999999999</v>
      </c>
      <c r="P77" s="9"/>
      <c r="Q77" s="1">
        <v>19</v>
      </c>
      <c r="R77" s="14" t="s">
        <v>178</v>
      </c>
      <c r="S77" s="25">
        <v>0.56822919000000005</v>
      </c>
      <c r="T77" s="9"/>
      <c r="U77" s="1">
        <v>19</v>
      </c>
      <c r="V77" s="14" t="s">
        <v>107</v>
      </c>
      <c r="W77" s="21">
        <v>0.35813952999999998</v>
      </c>
      <c r="X77" s="9"/>
      <c r="Y77" s="1">
        <v>19</v>
      </c>
      <c r="Z77" s="14" t="s">
        <v>211</v>
      </c>
      <c r="AA77" s="21">
        <v>0.66666667000000002</v>
      </c>
      <c r="AB77" s="9"/>
      <c r="AC77" s="1">
        <v>19</v>
      </c>
      <c r="AD77" s="14" t="s">
        <v>131</v>
      </c>
      <c r="AE77" s="34">
        <v>0.31017254</v>
      </c>
      <c r="AF77" s="9"/>
      <c r="AG77" s="1">
        <v>19</v>
      </c>
      <c r="AH77" s="14" t="s">
        <v>181</v>
      </c>
      <c r="AI77" s="21">
        <v>0.72772276999999996</v>
      </c>
    </row>
    <row r="78" spans="1:35" x14ac:dyDescent="0.2">
      <c r="A78" s="1">
        <v>20</v>
      </c>
      <c r="B78" s="14" t="s">
        <v>175</v>
      </c>
      <c r="C78" s="21">
        <v>0.66975474000000002</v>
      </c>
      <c r="D78" s="9"/>
      <c r="E78" s="1">
        <v>20</v>
      </c>
      <c r="F78" s="9" t="s">
        <v>106</v>
      </c>
      <c r="G78" s="26">
        <v>0.54709732</v>
      </c>
      <c r="H78" s="9"/>
      <c r="I78" s="1">
        <v>20</v>
      </c>
      <c r="J78" s="14" t="s">
        <v>244</v>
      </c>
      <c r="K78" s="21">
        <v>0.43927536</v>
      </c>
      <c r="L78" s="9"/>
      <c r="M78" s="1">
        <v>20</v>
      </c>
      <c r="N78" s="14" t="s">
        <v>265</v>
      </c>
      <c r="O78" s="21">
        <v>0.52820246999999998</v>
      </c>
      <c r="P78" s="9"/>
      <c r="Q78" s="1">
        <v>20</v>
      </c>
      <c r="R78" s="14" t="s">
        <v>159</v>
      </c>
      <c r="S78" s="25">
        <v>0.56803904999999999</v>
      </c>
      <c r="T78" s="9"/>
      <c r="U78" s="1">
        <v>20</v>
      </c>
      <c r="V78" s="14" t="s">
        <v>106</v>
      </c>
      <c r="W78" s="21">
        <v>0.35752787000000003</v>
      </c>
      <c r="X78" s="9"/>
      <c r="Y78" s="1">
        <v>20</v>
      </c>
      <c r="Z78" s="14" t="s">
        <v>106</v>
      </c>
      <c r="AA78" s="21">
        <v>0.66262525999999999</v>
      </c>
      <c r="AB78" s="9"/>
      <c r="AC78" s="1">
        <v>20</v>
      </c>
      <c r="AD78" s="14" t="s">
        <v>106</v>
      </c>
      <c r="AE78" s="34">
        <v>0.30939497999999999</v>
      </c>
      <c r="AF78" s="9"/>
      <c r="AG78" s="1">
        <v>20</v>
      </c>
      <c r="AH78" s="14" t="s">
        <v>159</v>
      </c>
      <c r="AI78" s="21">
        <v>0.72211997999999999</v>
      </c>
    </row>
    <row r="79" spans="1:35" x14ac:dyDescent="0.2">
      <c r="A79" s="1">
        <v>21</v>
      </c>
      <c r="B79" s="14" t="s">
        <v>138</v>
      </c>
      <c r="C79" s="21">
        <v>0.66800011000000004</v>
      </c>
      <c r="D79" s="9"/>
      <c r="E79" s="1">
        <v>21</v>
      </c>
      <c r="F79" s="9" t="s">
        <v>208</v>
      </c>
      <c r="G79" s="26">
        <v>0.54245140000000003</v>
      </c>
      <c r="H79" s="9"/>
      <c r="I79" s="1">
        <v>21</v>
      </c>
      <c r="J79" s="14" t="s">
        <v>139</v>
      </c>
      <c r="K79" s="21">
        <v>0.42891754999999998</v>
      </c>
      <c r="L79" s="9"/>
      <c r="M79" s="1">
        <v>21</v>
      </c>
      <c r="N79" s="14" t="s">
        <v>160</v>
      </c>
      <c r="O79" s="21">
        <v>0.52601668000000001</v>
      </c>
      <c r="P79" s="9"/>
      <c r="Q79" s="1">
        <v>21</v>
      </c>
      <c r="R79" s="14" t="s">
        <v>172</v>
      </c>
      <c r="S79" s="25">
        <v>0.55710291000000001</v>
      </c>
      <c r="T79" s="9"/>
      <c r="U79" s="1">
        <v>21</v>
      </c>
      <c r="V79" s="14" t="s">
        <v>179</v>
      </c>
      <c r="W79" s="21">
        <v>0.35508462000000002</v>
      </c>
      <c r="X79" s="9"/>
      <c r="Y79" s="1">
        <v>21</v>
      </c>
      <c r="Z79" s="14" t="s">
        <v>137</v>
      </c>
      <c r="AA79" s="21">
        <v>0.65476078999999998</v>
      </c>
      <c r="AB79" s="9"/>
      <c r="AC79" s="1">
        <v>21</v>
      </c>
      <c r="AD79" s="14" t="s">
        <v>158</v>
      </c>
      <c r="AE79" s="34">
        <v>0.30367568</v>
      </c>
      <c r="AF79" s="9"/>
      <c r="AG79" s="1">
        <v>21</v>
      </c>
      <c r="AH79" s="14" t="s">
        <v>130</v>
      </c>
      <c r="AI79" s="21">
        <v>0.71672393999999995</v>
      </c>
    </row>
    <row r="80" spans="1:35" x14ac:dyDescent="0.2">
      <c r="A80" s="1">
        <v>22</v>
      </c>
      <c r="B80" s="14" t="s">
        <v>186</v>
      </c>
      <c r="C80" s="21">
        <v>0.66672631000000004</v>
      </c>
      <c r="D80" s="9"/>
      <c r="E80" s="1">
        <v>22</v>
      </c>
      <c r="F80" s="9" t="s">
        <v>186</v>
      </c>
      <c r="G80" s="26">
        <v>0.53487362999999999</v>
      </c>
      <c r="H80" s="9"/>
      <c r="I80" s="1">
        <v>22</v>
      </c>
      <c r="J80" s="14" t="s">
        <v>106</v>
      </c>
      <c r="K80" s="21">
        <v>0.42856663</v>
      </c>
      <c r="L80" s="9"/>
      <c r="M80" s="1">
        <v>22</v>
      </c>
      <c r="N80" s="14" t="s">
        <v>106</v>
      </c>
      <c r="O80" s="21">
        <v>0.52485906999999998</v>
      </c>
      <c r="P80" s="9"/>
      <c r="Q80" s="1">
        <v>22</v>
      </c>
      <c r="R80" s="9" t="s">
        <v>106</v>
      </c>
      <c r="S80" s="26">
        <v>0.54559804999999995</v>
      </c>
      <c r="T80" s="9"/>
      <c r="U80" s="1">
        <v>22</v>
      </c>
      <c r="V80" s="14" t="s">
        <v>232</v>
      </c>
      <c r="W80" s="21">
        <v>0.35494388999999998</v>
      </c>
      <c r="X80" s="9"/>
      <c r="Y80" s="1">
        <v>22</v>
      </c>
      <c r="Z80" s="9" t="s">
        <v>144</v>
      </c>
      <c r="AA80" s="22">
        <v>0.65267591999999996</v>
      </c>
      <c r="AB80" s="9"/>
      <c r="AC80" s="1">
        <v>22</v>
      </c>
      <c r="AD80" s="14" t="s">
        <v>109</v>
      </c>
      <c r="AE80" s="34">
        <v>0.30366239</v>
      </c>
      <c r="AF80" s="9"/>
      <c r="AG80" s="1">
        <v>22</v>
      </c>
      <c r="AH80" s="14" t="s">
        <v>178</v>
      </c>
      <c r="AI80" s="21">
        <v>0.71361094999999997</v>
      </c>
    </row>
    <row r="81" spans="1:35" x14ac:dyDescent="0.2">
      <c r="A81" s="1">
        <v>23</v>
      </c>
      <c r="B81" s="14" t="s">
        <v>181</v>
      </c>
      <c r="C81" s="21">
        <v>0.66305066000000001</v>
      </c>
      <c r="D81" s="9"/>
      <c r="E81" s="1">
        <v>23</v>
      </c>
      <c r="F81" s="9" t="s">
        <v>125</v>
      </c>
      <c r="G81" s="26">
        <v>0.53309432000000001</v>
      </c>
      <c r="H81" s="9"/>
      <c r="I81" s="1">
        <v>23</v>
      </c>
      <c r="J81" s="14" t="s">
        <v>141</v>
      </c>
      <c r="K81" s="21">
        <v>0.42580705000000002</v>
      </c>
      <c r="L81" s="9"/>
      <c r="M81" s="1">
        <v>23</v>
      </c>
      <c r="N81" s="14" t="s">
        <v>229</v>
      </c>
      <c r="O81" s="21">
        <v>0.52170406000000002</v>
      </c>
      <c r="P81" s="9"/>
      <c r="Q81" s="1">
        <v>23</v>
      </c>
      <c r="R81" s="9" t="s">
        <v>152</v>
      </c>
      <c r="S81" s="26">
        <v>0.54085377999999995</v>
      </c>
      <c r="T81" s="9"/>
      <c r="U81" s="1">
        <v>23</v>
      </c>
      <c r="V81" s="14" t="s">
        <v>224</v>
      </c>
      <c r="W81" s="21">
        <v>0.35448186999999998</v>
      </c>
      <c r="X81" s="9"/>
      <c r="Y81" s="1">
        <v>23</v>
      </c>
      <c r="Z81" s="9" t="s">
        <v>181</v>
      </c>
      <c r="AA81" s="22">
        <v>0.65177313000000003</v>
      </c>
      <c r="AB81" s="9"/>
      <c r="AC81" s="1">
        <v>23</v>
      </c>
      <c r="AD81" s="14" t="s">
        <v>220</v>
      </c>
      <c r="AE81" s="34">
        <v>0.29327988999999999</v>
      </c>
      <c r="AF81" s="9"/>
      <c r="AG81" s="1">
        <v>23</v>
      </c>
      <c r="AH81" s="14" t="s">
        <v>163</v>
      </c>
      <c r="AI81" s="21">
        <v>0.70779848999999995</v>
      </c>
    </row>
    <row r="82" spans="1:35" x14ac:dyDescent="0.2">
      <c r="A82" s="1">
        <v>24</v>
      </c>
      <c r="B82" s="14" t="s">
        <v>257</v>
      </c>
      <c r="C82" s="21">
        <v>0.65880479999999997</v>
      </c>
      <c r="D82" s="9"/>
      <c r="E82" s="1">
        <v>24</v>
      </c>
      <c r="F82" s="9" t="s">
        <v>220</v>
      </c>
      <c r="G82" s="26">
        <v>0.52841064999999998</v>
      </c>
      <c r="H82" s="9"/>
      <c r="I82" s="1">
        <v>24</v>
      </c>
      <c r="J82" s="14" t="s">
        <v>120</v>
      </c>
      <c r="K82" s="21">
        <v>0.42503943999999999</v>
      </c>
      <c r="L82" s="9"/>
      <c r="M82" s="1">
        <v>24</v>
      </c>
      <c r="N82" s="14" t="s">
        <v>133</v>
      </c>
      <c r="O82" s="21">
        <v>0.52137761999999999</v>
      </c>
      <c r="P82" s="9"/>
      <c r="Q82" s="1">
        <v>24</v>
      </c>
      <c r="R82" s="9" t="s">
        <v>165</v>
      </c>
      <c r="S82" s="26">
        <v>0.53989682999999999</v>
      </c>
      <c r="T82" s="9"/>
      <c r="U82" s="1">
        <v>24</v>
      </c>
      <c r="V82" s="14" t="s">
        <v>160</v>
      </c>
      <c r="W82" s="21">
        <v>0.35269929</v>
      </c>
      <c r="X82" s="9"/>
      <c r="Y82" s="1">
        <v>24</v>
      </c>
      <c r="Z82" s="9" t="s">
        <v>232</v>
      </c>
      <c r="AA82" s="22">
        <v>0.65097587000000001</v>
      </c>
      <c r="AB82" s="9"/>
      <c r="AC82" s="1">
        <v>24</v>
      </c>
      <c r="AD82" s="14" t="s">
        <v>230</v>
      </c>
      <c r="AE82" s="34">
        <v>0.28959392</v>
      </c>
      <c r="AF82" s="9"/>
      <c r="AG82" s="1">
        <v>24</v>
      </c>
      <c r="AH82" s="14" t="s">
        <v>152</v>
      </c>
      <c r="AI82" s="21">
        <v>0.70645020000000003</v>
      </c>
    </row>
    <row r="83" spans="1:35" x14ac:dyDescent="0.2">
      <c r="A83" s="1">
        <v>25</v>
      </c>
      <c r="B83" s="14" t="s">
        <v>260</v>
      </c>
      <c r="C83" s="21">
        <v>0.64979200000000004</v>
      </c>
      <c r="D83" s="9"/>
      <c r="E83" s="1">
        <v>25</v>
      </c>
      <c r="F83" s="9" t="s">
        <v>289</v>
      </c>
      <c r="G83" s="26">
        <v>0.5279682</v>
      </c>
      <c r="H83" s="9"/>
      <c r="I83" s="1">
        <v>25</v>
      </c>
      <c r="J83" s="14" t="s">
        <v>179</v>
      </c>
      <c r="K83" s="21">
        <v>0.42257727</v>
      </c>
      <c r="L83" s="9"/>
      <c r="M83" s="1">
        <v>25</v>
      </c>
      <c r="N83" s="14" t="s">
        <v>203</v>
      </c>
      <c r="O83" s="21">
        <v>0.51910699000000005</v>
      </c>
      <c r="P83" s="9"/>
      <c r="Q83" s="1">
        <v>25</v>
      </c>
      <c r="R83" s="9" t="s">
        <v>137</v>
      </c>
      <c r="S83" s="26">
        <v>0.52745233999999996</v>
      </c>
      <c r="T83" s="9"/>
      <c r="U83" s="1">
        <v>25</v>
      </c>
      <c r="V83" s="14" t="s">
        <v>173</v>
      </c>
      <c r="W83" s="21">
        <v>0.35082499</v>
      </c>
      <c r="X83" s="9"/>
      <c r="Y83" s="1">
        <v>25</v>
      </c>
      <c r="Z83" s="9" t="s">
        <v>233</v>
      </c>
      <c r="AA83" s="22">
        <v>0.64728766999999998</v>
      </c>
      <c r="AB83" s="9"/>
      <c r="AC83" s="1">
        <v>25</v>
      </c>
      <c r="AD83" s="14" t="s">
        <v>151</v>
      </c>
      <c r="AE83" s="34">
        <v>0.28350543</v>
      </c>
      <c r="AF83" s="9"/>
      <c r="AG83" s="1">
        <v>25</v>
      </c>
      <c r="AH83" s="14" t="s">
        <v>151</v>
      </c>
      <c r="AI83" s="21">
        <v>0.70568432999999997</v>
      </c>
    </row>
    <row r="84" spans="1:35" x14ac:dyDescent="0.2">
      <c r="A84" s="1">
        <v>26</v>
      </c>
      <c r="B84" s="14" t="s">
        <v>224</v>
      </c>
      <c r="C84" s="21">
        <v>0.64873923</v>
      </c>
      <c r="D84" s="9"/>
      <c r="E84" s="1">
        <v>26</v>
      </c>
      <c r="F84" s="9" t="s">
        <v>232</v>
      </c>
      <c r="G84" s="26">
        <v>0.52439387999999998</v>
      </c>
      <c r="H84" s="9"/>
      <c r="I84" s="1">
        <v>26</v>
      </c>
      <c r="J84" s="14" t="s">
        <v>132</v>
      </c>
      <c r="K84" s="21">
        <v>0.42065471999999998</v>
      </c>
      <c r="L84" s="9"/>
      <c r="M84" s="1">
        <v>26</v>
      </c>
      <c r="N84" s="14" t="s">
        <v>131</v>
      </c>
      <c r="O84" s="21">
        <v>0.51701178999999997</v>
      </c>
      <c r="P84" s="9"/>
      <c r="Q84" s="1">
        <v>26</v>
      </c>
      <c r="R84" s="9" t="s">
        <v>208</v>
      </c>
      <c r="S84" s="26">
        <v>0.52707210000000004</v>
      </c>
      <c r="T84" s="9"/>
      <c r="U84" s="1">
        <v>26</v>
      </c>
      <c r="V84" s="14" t="s">
        <v>196</v>
      </c>
      <c r="W84" s="21">
        <v>0.34824101000000002</v>
      </c>
      <c r="X84" s="9"/>
      <c r="Y84" s="1">
        <v>26</v>
      </c>
      <c r="Z84" s="9" t="s">
        <v>109</v>
      </c>
      <c r="AA84" s="22">
        <v>0.64373734000000005</v>
      </c>
      <c r="AB84" s="9"/>
      <c r="AC84" s="1">
        <v>26</v>
      </c>
      <c r="AD84" s="9" t="s">
        <v>144</v>
      </c>
      <c r="AE84" s="35">
        <v>0.27753167000000001</v>
      </c>
      <c r="AF84" s="9"/>
      <c r="AG84" s="1">
        <v>26</v>
      </c>
      <c r="AH84" s="14" t="s">
        <v>144</v>
      </c>
      <c r="AI84" s="21">
        <v>0.67869539999999995</v>
      </c>
    </row>
    <row r="85" spans="1:35" x14ac:dyDescent="0.2">
      <c r="A85" s="1">
        <v>27</v>
      </c>
      <c r="B85" s="9" t="s">
        <v>199</v>
      </c>
      <c r="C85" s="22">
        <v>0.64673596</v>
      </c>
      <c r="D85" s="9"/>
      <c r="E85" s="1">
        <v>27</v>
      </c>
      <c r="F85" s="9" t="s">
        <v>127</v>
      </c>
      <c r="G85" s="26">
        <v>0.52364451999999995</v>
      </c>
      <c r="H85" s="9"/>
      <c r="I85" s="1">
        <v>27</v>
      </c>
      <c r="J85" s="14" t="s">
        <v>233</v>
      </c>
      <c r="K85" s="21">
        <v>0.42007285999999999</v>
      </c>
      <c r="L85" s="9"/>
      <c r="M85" s="1">
        <v>27</v>
      </c>
      <c r="N85" s="14" t="s">
        <v>132</v>
      </c>
      <c r="O85" s="21">
        <v>0.51408829</v>
      </c>
      <c r="P85" s="9"/>
      <c r="Q85" s="1">
        <v>27</v>
      </c>
      <c r="R85" s="9" t="s">
        <v>176</v>
      </c>
      <c r="S85" s="26">
        <v>0.52650023000000001</v>
      </c>
      <c r="T85" s="9"/>
      <c r="U85" s="1">
        <v>27</v>
      </c>
      <c r="V85" s="14" t="s">
        <v>161</v>
      </c>
      <c r="W85" s="21">
        <v>0.34259424999999999</v>
      </c>
      <c r="X85" s="9"/>
      <c r="Y85" s="1">
        <v>27</v>
      </c>
      <c r="Z85" s="9" t="s">
        <v>228</v>
      </c>
      <c r="AA85" s="22">
        <v>0.64063020000000004</v>
      </c>
      <c r="AB85" s="9"/>
      <c r="AC85" s="1">
        <v>27</v>
      </c>
      <c r="AD85" s="9" t="s">
        <v>139</v>
      </c>
      <c r="AE85" s="35">
        <v>0.27663736</v>
      </c>
      <c r="AF85" s="9"/>
      <c r="AG85" s="1">
        <v>27</v>
      </c>
      <c r="AH85" s="14" t="s">
        <v>118</v>
      </c>
      <c r="AI85" s="21">
        <v>0.67326733000000005</v>
      </c>
    </row>
    <row r="86" spans="1:35" x14ac:dyDescent="0.2">
      <c r="A86" s="1">
        <v>28</v>
      </c>
      <c r="B86" s="9" t="s">
        <v>206</v>
      </c>
      <c r="C86" s="22">
        <v>0.64535770999999997</v>
      </c>
      <c r="D86" s="9"/>
      <c r="E86" s="1">
        <v>28</v>
      </c>
      <c r="F86" s="9" t="s">
        <v>230</v>
      </c>
      <c r="G86" s="26">
        <v>0.51695871000000004</v>
      </c>
      <c r="H86" s="9"/>
      <c r="I86" s="1">
        <v>28</v>
      </c>
      <c r="J86" s="14" t="s">
        <v>178</v>
      </c>
      <c r="K86" s="21">
        <v>0.41838644000000003</v>
      </c>
      <c r="L86" s="9"/>
      <c r="M86" s="1">
        <v>28</v>
      </c>
      <c r="N86" s="14" t="s">
        <v>161</v>
      </c>
      <c r="O86" s="21">
        <v>0.51335633999999997</v>
      </c>
      <c r="P86" s="9"/>
      <c r="Q86" s="1">
        <v>28</v>
      </c>
      <c r="R86" s="9" t="s">
        <v>153</v>
      </c>
      <c r="S86" s="26">
        <v>0.52427520999999999</v>
      </c>
      <c r="T86" s="9"/>
      <c r="U86" s="1">
        <v>28</v>
      </c>
      <c r="V86" s="9" t="s">
        <v>152</v>
      </c>
      <c r="W86" s="22">
        <v>0.33908622999999999</v>
      </c>
      <c r="X86" s="9"/>
      <c r="Y86" s="1">
        <v>28</v>
      </c>
      <c r="Z86" s="9" t="s">
        <v>125</v>
      </c>
      <c r="AA86" s="22">
        <v>0.64032582000000005</v>
      </c>
      <c r="AB86" s="9"/>
      <c r="AC86" s="1">
        <v>28</v>
      </c>
      <c r="AD86" s="9" t="s">
        <v>185</v>
      </c>
      <c r="AE86" s="35">
        <v>0.26728090999999998</v>
      </c>
      <c r="AF86" s="9"/>
      <c r="AG86" s="1">
        <v>28</v>
      </c>
      <c r="AH86" s="14" t="s">
        <v>123</v>
      </c>
      <c r="AI86" s="21">
        <v>0.66831682999999997</v>
      </c>
    </row>
    <row r="87" spans="1:35" x14ac:dyDescent="0.2">
      <c r="A87" s="1">
        <v>29</v>
      </c>
      <c r="B87" s="9" t="s">
        <v>161</v>
      </c>
      <c r="C87" s="22">
        <v>0.64213830000000005</v>
      </c>
      <c r="D87" s="9"/>
      <c r="E87" s="1">
        <v>29</v>
      </c>
      <c r="F87" s="9" t="s">
        <v>229</v>
      </c>
      <c r="G87" s="26">
        <v>0.51678718999999995</v>
      </c>
      <c r="H87" s="9"/>
      <c r="I87" s="1">
        <v>29</v>
      </c>
      <c r="J87" s="14" t="s">
        <v>160</v>
      </c>
      <c r="K87" s="21">
        <v>0.40915519</v>
      </c>
      <c r="L87" s="9"/>
      <c r="M87" s="1">
        <v>29</v>
      </c>
      <c r="N87" s="9" t="s">
        <v>233</v>
      </c>
      <c r="O87" s="22">
        <v>0.50769341000000001</v>
      </c>
      <c r="P87" s="9"/>
      <c r="Q87" s="1">
        <v>29</v>
      </c>
      <c r="R87" s="9" t="s">
        <v>179</v>
      </c>
      <c r="S87" s="26">
        <v>0.52313699000000002</v>
      </c>
      <c r="T87" s="9"/>
      <c r="U87" s="1">
        <v>29</v>
      </c>
      <c r="V87" s="9" t="s">
        <v>237</v>
      </c>
      <c r="W87" s="22">
        <v>0.33870649000000003</v>
      </c>
      <c r="X87" s="9"/>
      <c r="Y87" s="1">
        <v>29</v>
      </c>
      <c r="Z87" s="9" t="s">
        <v>208</v>
      </c>
      <c r="AA87" s="22">
        <v>0.63600177000000002</v>
      </c>
      <c r="AB87" s="9"/>
      <c r="AC87" s="1">
        <v>29</v>
      </c>
      <c r="AD87" s="9" t="s">
        <v>178</v>
      </c>
      <c r="AE87" s="35">
        <v>0.26412847</v>
      </c>
      <c r="AF87" s="9"/>
      <c r="AG87" s="1">
        <v>29</v>
      </c>
      <c r="AH87" s="9" t="s">
        <v>175</v>
      </c>
      <c r="AI87" s="22">
        <v>0.66467966999999994</v>
      </c>
    </row>
    <row r="88" spans="1:35" x14ac:dyDescent="0.2">
      <c r="A88" s="1">
        <v>30</v>
      </c>
      <c r="B88" s="9" t="s">
        <v>261</v>
      </c>
      <c r="C88" s="22">
        <v>0.63977499000000004</v>
      </c>
      <c r="D88" s="9"/>
      <c r="E88" s="1">
        <v>30</v>
      </c>
      <c r="F88" s="9" t="s">
        <v>252</v>
      </c>
      <c r="G88" s="26">
        <v>0.51648578000000001</v>
      </c>
      <c r="H88" s="9"/>
      <c r="I88" s="1">
        <v>30</v>
      </c>
      <c r="J88" s="9" t="s">
        <v>156</v>
      </c>
      <c r="K88" s="22">
        <v>0.40790851</v>
      </c>
      <c r="L88" s="9"/>
      <c r="M88" s="1">
        <v>30</v>
      </c>
      <c r="N88" s="9" t="s">
        <v>130</v>
      </c>
      <c r="O88" s="22">
        <v>0.50328156000000002</v>
      </c>
      <c r="P88" s="9"/>
      <c r="Q88" s="1">
        <v>30</v>
      </c>
      <c r="R88" s="9" t="s">
        <v>169</v>
      </c>
      <c r="S88" s="26">
        <v>0.51968524999999999</v>
      </c>
      <c r="T88" s="9"/>
      <c r="U88" s="1">
        <v>30</v>
      </c>
      <c r="V88" s="9" t="s">
        <v>178</v>
      </c>
      <c r="W88" s="22">
        <v>0.33817004000000001</v>
      </c>
      <c r="X88" s="9"/>
      <c r="Y88" s="1">
        <v>30</v>
      </c>
      <c r="Z88" s="9" t="s">
        <v>159</v>
      </c>
      <c r="AA88" s="22">
        <v>0.63537306000000005</v>
      </c>
      <c r="AB88" s="9"/>
      <c r="AC88" s="1">
        <v>30</v>
      </c>
      <c r="AD88" s="9" t="s">
        <v>145</v>
      </c>
      <c r="AE88" s="35">
        <v>0.26299438000000003</v>
      </c>
      <c r="AF88" s="9"/>
      <c r="AG88" s="1">
        <v>30</v>
      </c>
      <c r="AH88" s="9" t="s">
        <v>128</v>
      </c>
      <c r="AI88" s="22">
        <v>0.65717822000000004</v>
      </c>
    </row>
    <row r="89" spans="1:35" x14ac:dyDescent="0.2">
      <c r="A89" s="1">
        <v>31</v>
      </c>
      <c r="B89" s="9" t="s">
        <v>155</v>
      </c>
      <c r="C89" s="22">
        <v>0.63838189000000001</v>
      </c>
      <c r="D89" s="9"/>
      <c r="E89" s="1">
        <v>31</v>
      </c>
      <c r="F89" s="9" t="s">
        <v>210</v>
      </c>
      <c r="G89" s="26">
        <v>0.51648578000000001</v>
      </c>
      <c r="H89" s="9"/>
      <c r="I89" s="1">
        <v>31</v>
      </c>
      <c r="J89" s="9" t="s">
        <v>230</v>
      </c>
      <c r="K89" s="22">
        <v>0.40622564999999999</v>
      </c>
      <c r="L89" s="9"/>
      <c r="M89" s="1">
        <v>31</v>
      </c>
      <c r="N89" s="9" t="s">
        <v>257</v>
      </c>
      <c r="O89" s="22">
        <v>0.50300403000000005</v>
      </c>
      <c r="P89" s="9"/>
      <c r="Q89" s="1">
        <v>31</v>
      </c>
      <c r="R89" s="9" t="s">
        <v>243</v>
      </c>
      <c r="S89" s="26">
        <v>0.51083920999999999</v>
      </c>
      <c r="T89" s="9"/>
      <c r="U89" s="1">
        <v>31</v>
      </c>
      <c r="V89" s="9" t="s">
        <v>151</v>
      </c>
      <c r="W89" s="22">
        <v>0.33379430999999998</v>
      </c>
      <c r="X89" s="9"/>
      <c r="Y89" s="1">
        <v>31</v>
      </c>
      <c r="Z89" s="9" t="s">
        <v>183</v>
      </c>
      <c r="AA89" s="22">
        <v>0.63467759000000001</v>
      </c>
      <c r="AB89" s="9"/>
      <c r="AC89" s="1">
        <v>31</v>
      </c>
      <c r="AD89" s="9" t="s">
        <v>147</v>
      </c>
      <c r="AE89" s="35">
        <v>0.26166450000000002</v>
      </c>
      <c r="AF89" s="9"/>
      <c r="AG89" s="1">
        <v>31</v>
      </c>
      <c r="AH89" s="9" t="s">
        <v>196</v>
      </c>
      <c r="AI89" s="22">
        <v>0.65693360999999995</v>
      </c>
    </row>
    <row r="90" spans="1:35" x14ac:dyDescent="0.2">
      <c r="A90" s="1">
        <v>32</v>
      </c>
      <c r="B90" s="9" t="s">
        <v>148</v>
      </c>
      <c r="C90" s="22">
        <v>0.63756265000000001</v>
      </c>
      <c r="D90" s="9"/>
      <c r="E90" s="1">
        <v>32</v>
      </c>
      <c r="F90" s="9" t="s">
        <v>207</v>
      </c>
      <c r="G90" s="26">
        <v>0.51648578000000001</v>
      </c>
      <c r="H90" s="9"/>
      <c r="I90" s="1">
        <v>32</v>
      </c>
      <c r="J90" s="9" t="s">
        <v>211</v>
      </c>
      <c r="K90" s="22">
        <v>0.39876624999999999</v>
      </c>
      <c r="L90" s="9"/>
      <c r="M90" s="1">
        <v>32</v>
      </c>
      <c r="N90" s="9" t="s">
        <v>230</v>
      </c>
      <c r="O90" s="22">
        <v>0.50006903000000003</v>
      </c>
      <c r="P90" s="9"/>
      <c r="Q90" s="1">
        <v>32</v>
      </c>
      <c r="R90" s="9" t="s">
        <v>141</v>
      </c>
      <c r="S90" s="26">
        <v>0.50166573999999997</v>
      </c>
      <c r="T90" s="9"/>
      <c r="U90" s="1">
        <v>32</v>
      </c>
      <c r="V90" s="9" t="s">
        <v>172</v>
      </c>
      <c r="W90" s="22">
        <v>0.32416963999999998</v>
      </c>
      <c r="X90" s="9"/>
      <c r="Y90" s="1">
        <v>32</v>
      </c>
      <c r="Z90" s="9" t="s">
        <v>167</v>
      </c>
      <c r="AA90" s="22">
        <v>0.63393281000000001</v>
      </c>
      <c r="AB90" s="9"/>
      <c r="AC90" s="1">
        <v>32</v>
      </c>
      <c r="AD90" s="9" t="s">
        <v>228</v>
      </c>
      <c r="AE90" s="35">
        <v>0.26016690999999997</v>
      </c>
      <c r="AF90" s="9"/>
      <c r="AG90" s="1">
        <v>32</v>
      </c>
      <c r="AH90" s="9" t="s">
        <v>192</v>
      </c>
      <c r="AI90" s="22">
        <v>0.65049796000000004</v>
      </c>
    </row>
    <row r="91" spans="1:35" x14ac:dyDescent="0.2">
      <c r="A91" s="1">
        <v>33</v>
      </c>
      <c r="B91" s="9" t="s">
        <v>233</v>
      </c>
      <c r="C91" s="22">
        <v>0.63613458000000001</v>
      </c>
      <c r="D91" s="9"/>
      <c r="E91" s="1">
        <v>33</v>
      </c>
      <c r="F91" s="9" t="s">
        <v>226</v>
      </c>
      <c r="G91" s="26">
        <v>0.51520211999999999</v>
      </c>
      <c r="H91" s="9"/>
      <c r="I91" s="1">
        <v>33</v>
      </c>
      <c r="J91" s="9" t="s">
        <v>158</v>
      </c>
      <c r="K91" s="22">
        <v>0.39762120000000001</v>
      </c>
      <c r="L91" s="9"/>
      <c r="M91" s="1">
        <v>33</v>
      </c>
      <c r="N91" s="9" t="s">
        <v>260</v>
      </c>
      <c r="O91" s="22">
        <v>0.49847713999999999</v>
      </c>
      <c r="P91" s="9"/>
      <c r="Q91" s="1">
        <v>33</v>
      </c>
      <c r="R91" s="9" t="s">
        <v>212</v>
      </c>
      <c r="S91" s="26">
        <v>0.50069965000000005</v>
      </c>
      <c r="T91" s="9"/>
      <c r="U91" s="1">
        <v>33</v>
      </c>
      <c r="V91" s="9" t="s">
        <v>168</v>
      </c>
      <c r="W91" s="22">
        <v>0.32191558999999997</v>
      </c>
      <c r="X91" s="9"/>
      <c r="Y91" s="1">
        <v>33</v>
      </c>
      <c r="Z91" s="9" t="s">
        <v>140</v>
      </c>
      <c r="AA91" s="22">
        <v>0.63054308000000003</v>
      </c>
      <c r="AB91" s="9"/>
      <c r="AC91" s="1">
        <v>33</v>
      </c>
      <c r="AD91" s="9" t="s">
        <v>244</v>
      </c>
      <c r="AE91" s="35">
        <v>0.25451251000000003</v>
      </c>
      <c r="AF91" s="9"/>
      <c r="AG91" s="1">
        <v>33</v>
      </c>
      <c r="AH91" s="9" t="s">
        <v>225</v>
      </c>
      <c r="AI91" s="22">
        <v>0.64914386000000002</v>
      </c>
    </row>
    <row r="92" spans="1:35" x14ac:dyDescent="0.2">
      <c r="A92" s="1">
        <v>34</v>
      </c>
      <c r="B92" s="9" t="s">
        <v>162</v>
      </c>
      <c r="C92" s="22">
        <v>0.63536128000000003</v>
      </c>
      <c r="D92" s="9"/>
      <c r="E92" s="1">
        <v>34</v>
      </c>
      <c r="F92" s="9" t="s">
        <v>130</v>
      </c>
      <c r="G92" s="26">
        <v>0.51483023999999999</v>
      </c>
      <c r="H92" s="9"/>
      <c r="I92" s="1">
        <v>34</v>
      </c>
      <c r="J92" s="9" t="s">
        <v>122</v>
      </c>
      <c r="K92" s="22">
        <v>0.39526873000000001</v>
      </c>
      <c r="L92" s="9"/>
      <c r="M92" s="1">
        <v>34</v>
      </c>
      <c r="N92" s="9" t="s">
        <v>122</v>
      </c>
      <c r="O92" s="22">
        <v>0.49557952</v>
      </c>
      <c r="P92" s="9"/>
      <c r="Q92" s="1">
        <v>34</v>
      </c>
      <c r="R92" s="9" t="s">
        <v>191</v>
      </c>
      <c r="S92" s="26">
        <v>0.49678365000000002</v>
      </c>
      <c r="T92" s="9"/>
      <c r="U92" s="1">
        <v>34</v>
      </c>
      <c r="V92" s="9" t="s">
        <v>260</v>
      </c>
      <c r="W92" s="22">
        <v>0.31081261999999998</v>
      </c>
      <c r="X92" s="9"/>
      <c r="Y92" s="1">
        <v>34</v>
      </c>
      <c r="Z92" s="9" t="s">
        <v>291</v>
      </c>
      <c r="AA92" s="22">
        <v>0.62778104999999995</v>
      </c>
      <c r="AB92" s="9"/>
      <c r="AC92" s="1">
        <v>34</v>
      </c>
      <c r="AD92" s="9" t="s">
        <v>194</v>
      </c>
      <c r="AE92" s="35">
        <v>0.25404094999999999</v>
      </c>
      <c r="AF92" s="9"/>
      <c r="AG92" s="1">
        <v>34</v>
      </c>
      <c r="AH92" s="9" t="s">
        <v>173</v>
      </c>
      <c r="AI92" s="22">
        <v>0.64728014</v>
      </c>
    </row>
    <row r="93" spans="1:35" x14ac:dyDescent="0.2">
      <c r="A93" s="1">
        <v>35</v>
      </c>
      <c r="B93" s="9" t="s">
        <v>187</v>
      </c>
      <c r="C93" s="22">
        <v>0.63405354000000003</v>
      </c>
      <c r="D93" s="9"/>
      <c r="E93" s="1">
        <v>35</v>
      </c>
      <c r="F93" s="9" t="s">
        <v>194</v>
      </c>
      <c r="G93" s="26">
        <v>0.51433119999999999</v>
      </c>
      <c r="H93" s="9"/>
      <c r="I93" s="1">
        <v>35</v>
      </c>
      <c r="J93" s="9" t="s">
        <v>130</v>
      </c>
      <c r="K93" s="22">
        <v>0.39503516999999999</v>
      </c>
      <c r="L93" s="9"/>
      <c r="M93" s="1">
        <v>35</v>
      </c>
      <c r="N93" s="9" t="s">
        <v>198</v>
      </c>
      <c r="O93" s="22">
        <v>0.48879205999999997</v>
      </c>
      <c r="P93" s="9"/>
      <c r="Q93" s="1">
        <v>35</v>
      </c>
      <c r="R93" s="9" t="s">
        <v>248</v>
      </c>
      <c r="S93" s="26">
        <v>0.49609505999999998</v>
      </c>
      <c r="T93" s="9"/>
      <c r="U93" s="1">
        <v>35</v>
      </c>
      <c r="V93" s="9" t="s">
        <v>127</v>
      </c>
      <c r="W93" s="22">
        <v>0.30124533999999997</v>
      </c>
      <c r="X93" s="9"/>
      <c r="Y93" s="1">
        <v>35</v>
      </c>
      <c r="Z93" s="9" t="s">
        <v>182</v>
      </c>
      <c r="AA93" s="22">
        <v>0.6225908</v>
      </c>
      <c r="AB93" s="9"/>
      <c r="AC93" s="1">
        <v>35</v>
      </c>
      <c r="AD93" s="9" t="s">
        <v>137</v>
      </c>
      <c r="AE93" s="35">
        <v>0.25335714999999998</v>
      </c>
      <c r="AF93" s="9"/>
      <c r="AG93" s="1">
        <v>35</v>
      </c>
      <c r="AH93" s="9" t="s">
        <v>200</v>
      </c>
      <c r="AI93" s="22">
        <v>0.64536983000000003</v>
      </c>
    </row>
    <row r="94" spans="1:35" x14ac:dyDescent="0.2">
      <c r="A94" s="1">
        <v>36</v>
      </c>
      <c r="B94" s="9" t="s">
        <v>290</v>
      </c>
      <c r="C94" s="22">
        <v>0.63033910000000004</v>
      </c>
      <c r="D94" s="9"/>
      <c r="E94" s="1">
        <v>36</v>
      </c>
      <c r="F94" s="9" t="s">
        <v>167</v>
      </c>
      <c r="G94" s="26">
        <v>0.50975607000000001</v>
      </c>
      <c r="H94" s="9"/>
      <c r="I94" s="1">
        <v>36</v>
      </c>
      <c r="J94" s="9" t="s">
        <v>181</v>
      </c>
      <c r="K94" s="22">
        <v>0.38888508999999999</v>
      </c>
      <c r="L94" s="9"/>
      <c r="M94" s="1">
        <v>36</v>
      </c>
      <c r="N94" s="9" t="s">
        <v>148</v>
      </c>
      <c r="O94" s="22">
        <v>0.48755823999999998</v>
      </c>
      <c r="P94" s="9"/>
      <c r="Q94" s="1">
        <v>36</v>
      </c>
      <c r="R94" s="9" t="s">
        <v>219</v>
      </c>
      <c r="S94" s="26">
        <v>0.48077731000000001</v>
      </c>
      <c r="T94" s="9"/>
      <c r="U94" s="1">
        <v>36</v>
      </c>
      <c r="V94" s="9" t="s">
        <v>227</v>
      </c>
      <c r="W94" s="22">
        <v>0.29349340000000002</v>
      </c>
      <c r="X94" s="9"/>
      <c r="Y94" s="1">
        <v>36</v>
      </c>
      <c r="Z94" s="9" t="s">
        <v>152</v>
      </c>
      <c r="AA94" s="22">
        <v>0.62021813999999997</v>
      </c>
      <c r="AB94" s="9"/>
      <c r="AC94" s="1">
        <v>36</v>
      </c>
      <c r="AD94" s="9" t="s">
        <v>175</v>
      </c>
      <c r="AE94" s="35">
        <v>0.24911216</v>
      </c>
      <c r="AF94" s="9"/>
      <c r="AG94" s="1">
        <v>36</v>
      </c>
      <c r="AH94" s="9" t="s">
        <v>155</v>
      </c>
      <c r="AI94" s="22">
        <v>0.64171228999999996</v>
      </c>
    </row>
    <row r="95" spans="1:35" x14ac:dyDescent="0.2">
      <c r="A95" s="1">
        <v>37</v>
      </c>
      <c r="B95" s="9" t="s">
        <v>179</v>
      </c>
      <c r="C95" s="22">
        <v>0.62863329999999995</v>
      </c>
      <c r="D95" s="9"/>
      <c r="E95" s="1">
        <v>37</v>
      </c>
      <c r="F95" s="9" t="s">
        <v>291</v>
      </c>
      <c r="G95" s="26">
        <v>0.50959482</v>
      </c>
      <c r="H95" s="9"/>
      <c r="I95" s="1">
        <v>37</v>
      </c>
      <c r="J95" s="9" t="s">
        <v>137</v>
      </c>
      <c r="K95" s="22">
        <v>0.38006794999999999</v>
      </c>
      <c r="L95" s="9"/>
      <c r="M95" s="1">
        <v>37</v>
      </c>
      <c r="N95" s="9" t="s">
        <v>139</v>
      </c>
      <c r="O95" s="22">
        <v>0.48715559000000003</v>
      </c>
      <c r="P95" s="9"/>
      <c r="Q95" s="1">
        <v>37</v>
      </c>
      <c r="R95" s="9" t="s">
        <v>260</v>
      </c>
      <c r="S95" s="26">
        <v>0.47751196000000001</v>
      </c>
      <c r="T95" s="9"/>
      <c r="U95" s="1">
        <v>37</v>
      </c>
      <c r="V95" s="9" t="s">
        <v>192</v>
      </c>
      <c r="W95" s="22">
        <v>0.28953120999999998</v>
      </c>
      <c r="X95" s="9"/>
      <c r="Y95" s="1">
        <v>37</v>
      </c>
      <c r="Z95" s="9" t="s">
        <v>131</v>
      </c>
      <c r="AA95" s="22">
        <v>0.61693761999999996</v>
      </c>
      <c r="AB95" s="9"/>
      <c r="AC95" s="1">
        <v>37</v>
      </c>
      <c r="AD95" s="9" t="s">
        <v>163</v>
      </c>
      <c r="AE95" s="35">
        <v>0.24705457</v>
      </c>
      <c r="AF95" s="9"/>
      <c r="AG95" s="1">
        <v>37</v>
      </c>
      <c r="AH95" s="9" t="s">
        <v>158</v>
      </c>
      <c r="AI95" s="22">
        <v>0.64132498999999998</v>
      </c>
    </row>
    <row r="96" spans="1:35" x14ac:dyDescent="0.2">
      <c r="A96" s="1">
        <v>38</v>
      </c>
      <c r="B96" s="9" t="s">
        <v>123</v>
      </c>
      <c r="C96" s="22">
        <v>0.62857419999999997</v>
      </c>
      <c r="D96" s="9"/>
      <c r="E96" s="1">
        <v>38</v>
      </c>
      <c r="F96" s="9" t="s">
        <v>290</v>
      </c>
      <c r="G96" s="26">
        <v>0.50638753999999997</v>
      </c>
      <c r="H96" s="9"/>
      <c r="I96" s="1">
        <v>38</v>
      </c>
      <c r="J96" s="9" t="s">
        <v>261</v>
      </c>
      <c r="K96" s="22">
        <v>0.37820889000000002</v>
      </c>
      <c r="L96" s="9"/>
      <c r="M96" s="1">
        <v>38</v>
      </c>
      <c r="N96" s="9" t="s">
        <v>289</v>
      </c>
      <c r="O96" s="22">
        <v>0.48381938000000002</v>
      </c>
      <c r="P96" s="9"/>
      <c r="Q96" s="1">
        <v>38</v>
      </c>
      <c r="R96" s="9" t="s">
        <v>142</v>
      </c>
      <c r="S96" s="26">
        <v>0.47213572999999998</v>
      </c>
      <c r="T96" s="9"/>
      <c r="U96" s="1">
        <v>38</v>
      </c>
      <c r="V96" s="9" t="s">
        <v>133</v>
      </c>
      <c r="W96" s="22">
        <v>0.28726093000000003</v>
      </c>
      <c r="X96" s="9"/>
      <c r="Y96" s="1">
        <v>38</v>
      </c>
      <c r="Z96" s="9" t="s">
        <v>194</v>
      </c>
      <c r="AA96" s="22">
        <v>0.61675692999999998</v>
      </c>
      <c r="AB96" s="9"/>
      <c r="AC96" s="1">
        <v>38</v>
      </c>
      <c r="AD96" s="9" t="s">
        <v>159</v>
      </c>
      <c r="AE96" s="35">
        <v>0.24271470000000001</v>
      </c>
      <c r="AF96" s="9"/>
      <c r="AG96" s="1">
        <v>38</v>
      </c>
      <c r="AH96" s="9" t="s">
        <v>237</v>
      </c>
      <c r="AI96" s="22">
        <v>0.63330226999999994</v>
      </c>
    </row>
    <row r="97" spans="1:35" x14ac:dyDescent="0.2">
      <c r="A97" s="1">
        <v>39</v>
      </c>
      <c r="B97" s="9" t="s">
        <v>135</v>
      </c>
      <c r="C97" s="22">
        <v>0.62834533999999997</v>
      </c>
      <c r="D97" s="9"/>
      <c r="E97" s="1">
        <v>39</v>
      </c>
      <c r="F97" s="9" t="s">
        <v>265</v>
      </c>
      <c r="G97" s="26">
        <v>0.50324104999999997</v>
      </c>
      <c r="H97" s="9"/>
      <c r="I97" s="1">
        <v>39</v>
      </c>
      <c r="J97" s="9" t="s">
        <v>290</v>
      </c>
      <c r="K97" s="22">
        <v>0.37175909000000001</v>
      </c>
      <c r="L97" s="9"/>
      <c r="M97" s="1">
        <v>39</v>
      </c>
      <c r="N97" s="9" t="s">
        <v>158</v>
      </c>
      <c r="O97" s="22">
        <v>0.48377336999999998</v>
      </c>
      <c r="P97" s="9"/>
      <c r="Q97" s="1">
        <v>39</v>
      </c>
      <c r="R97" s="9" t="s">
        <v>232</v>
      </c>
      <c r="S97" s="26">
        <v>0.45626998000000002</v>
      </c>
      <c r="T97" s="9"/>
      <c r="U97" s="1">
        <v>39</v>
      </c>
      <c r="V97" s="9" t="s">
        <v>205</v>
      </c>
      <c r="W97" s="22">
        <v>0.28280264999999999</v>
      </c>
      <c r="X97" s="9"/>
      <c r="Y97" s="1">
        <v>39</v>
      </c>
      <c r="Z97" s="9" t="s">
        <v>260</v>
      </c>
      <c r="AA97" s="22">
        <v>0.61181459999999999</v>
      </c>
      <c r="AB97" s="9"/>
      <c r="AC97" s="1">
        <v>39</v>
      </c>
      <c r="AD97" s="9" t="s">
        <v>200</v>
      </c>
      <c r="AE97" s="35">
        <v>0.23919497000000001</v>
      </c>
      <c r="AF97" s="9"/>
      <c r="AG97" s="1">
        <v>39</v>
      </c>
      <c r="AH97" s="9" t="s">
        <v>138</v>
      </c>
      <c r="AI97" s="22">
        <v>0.62887011999999998</v>
      </c>
    </row>
    <row r="98" spans="1:35" x14ac:dyDescent="0.2">
      <c r="A98" s="1">
        <v>40</v>
      </c>
      <c r="B98" s="9" t="s">
        <v>182</v>
      </c>
      <c r="C98" s="22">
        <v>0.62792331000000001</v>
      </c>
      <c r="D98" s="9"/>
      <c r="E98" s="1">
        <v>40</v>
      </c>
      <c r="F98" s="9" t="s">
        <v>183</v>
      </c>
      <c r="G98" s="26">
        <v>0.50198001999999997</v>
      </c>
      <c r="H98" s="9"/>
      <c r="I98" s="1">
        <v>40</v>
      </c>
      <c r="J98" s="9" t="s">
        <v>208</v>
      </c>
      <c r="K98" s="22">
        <v>0.37010264999999998</v>
      </c>
      <c r="L98" s="9"/>
      <c r="M98" s="1">
        <v>40</v>
      </c>
      <c r="N98" s="9" t="s">
        <v>149</v>
      </c>
      <c r="O98" s="22">
        <v>0.48245325999999999</v>
      </c>
      <c r="P98" s="9"/>
      <c r="Q98" s="1">
        <v>40</v>
      </c>
      <c r="R98" s="9" t="s">
        <v>125</v>
      </c>
      <c r="S98" s="26">
        <v>0.44993147999999999</v>
      </c>
      <c r="T98" s="9"/>
      <c r="U98" s="1">
        <v>40</v>
      </c>
      <c r="V98" s="9" t="s">
        <v>229</v>
      </c>
      <c r="W98" s="22">
        <v>0.28248948000000002</v>
      </c>
      <c r="X98" s="9"/>
      <c r="Y98" s="1">
        <v>40</v>
      </c>
      <c r="Z98" s="9" t="s">
        <v>189</v>
      </c>
      <c r="AA98" s="22">
        <v>0.60338431000000003</v>
      </c>
      <c r="AB98" s="9"/>
      <c r="AC98" s="1">
        <v>40</v>
      </c>
      <c r="AD98" s="9" t="s">
        <v>260</v>
      </c>
      <c r="AE98" s="35">
        <v>0.23784748</v>
      </c>
      <c r="AF98" s="9"/>
      <c r="AG98" s="1">
        <v>40</v>
      </c>
      <c r="AH98" s="9" t="s">
        <v>132</v>
      </c>
      <c r="AI98" s="22">
        <v>0.62157251000000002</v>
      </c>
    </row>
    <row r="99" spans="1:35" x14ac:dyDescent="0.2">
      <c r="A99" s="1">
        <v>41</v>
      </c>
      <c r="B99" s="9" t="s">
        <v>167</v>
      </c>
      <c r="C99" s="22">
        <v>0.62703180000000003</v>
      </c>
      <c r="D99" s="9"/>
      <c r="E99" s="1">
        <v>41</v>
      </c>
      <c r="F99" s="9" t="s">
        <v>151</v>
      </c>
      <c r="G99" s="26">
        <v>0.49493712000000001</v>
      </c>
      <c r="H99" s="9"/>
      <c r="I99" s="1">
        <v>41</v>
      </c>
      <c r="J99" s="9" t="s">
        <v>194</v>
      </c>
      <c r="K99" s="22">
        <v>0.36912384999999998</v>
      </c>
      <c r="L99" s="9"/>
      <c r="M99" s="1">
        <v>41</v>
      </c>
      <c r="N99" s="9" t="s">
        <v>244</v>
      </c>
      <c r="O99" s="22">
        <v>0.48189243999999998</v>
      </c>
      <c r="P99" s="9"/>
      <c r="Q99" s="1">
        <v>41</v>
      </c>
      <c r="R99" s="9" t="s">
        <v>253</v>
      </c>
      <c r="S99" s="26">
        <v>0.44817077</v>
      </c>
      <c r="T99" s="9"/>
      <c r="U99" s="1">
        <v>41</v>
      </c>
      <c r="V99" s="9" t="s">
        <v>148</v>
      </c>
      <c r="W99" s="22">
        <v>0.27471264000000001</v>
      </c>
      <c r="X99" s="9"/>
      <c r="Y99" s="1">
        <v>41</v>
      </c>
      <c r="Z99" s="9" t="s">
        <v>216</v>
      </c>
      <c r="AA99" s="22">
        <v>0.60238278000000001</v>
      </c>
      <c r="AB99" s="9"/>
      <c r="AC99" s="1">
        <v>41</v>
      </c>
      <c r="AD99" s="9" t="s">
        <v>203</v>
      </c>
      <c r="AE99" s="35">
        <v>0.23258556</v>
      </c>
      <c r="AF99" s="9"/>
      <c r="AG99" s="1">
        <v>41</v>
      </c>
      <c r="AH99" s="9" t="s">
        <v>131</v>
      </c>
      <c r="AI99" s="22">
        <v>0.61386138999999995</v>
      </c>
    </row>
    <row r="100" spans="1:35" x14ac:dyDescent="0.2">
      <c r="A100" s="1">
        <v>42</v>
      </c>
      <c r="B100" s="9" t="s">
        <v>118</v>
      </c>
      <c r="C100" s="22">
        <v>0.62347109999999994</v>
      </c>
      <c r="D100" s="9"/>
      <c r="E100" s="1">
        <v>42</v>
      </c>
      <c r="F100" s="9" t="s">
        <v>238</v>
      </c>
      <c r="G100" s="26">
        <v>0.49146794999999999</v>
      </c>
      <c r="H100" s="9"/>
      <c r="I100" s="1">
        <v>42</v>
      </c>
      <c r="J100" s="9" t="s">
        <v>186</v>
      </c>
      <c r="K100" s="22">
        <v>0.36776550000000002</v>
      </c>
      <c r="L100" s="9"/>
      <c r="M100" s="1">
        <v>42</v>
      </c>
      <c r="N100" s="9" t="s">
        <v>181</v>
      </c>
      <c r="O100" s="22">
        <v>0.48120218999999997</v>
      </c>
      <c r="P100" s="9"/>
      <c r="Q100" s="1">
        <v>42</v>
      </c>
      <c r="R100" s="9" t="s">
        <v>227</v>
      </c>
      <c r="S100" s="26">
        <v>0.44757528000000002</v>
      </c>
      <c r="T100" s="9"/>
      <c r="U100" s="1">
        <v>42</v>
      </c>
      <c r="V100" s="9" t="s">
        <v>132</v>
      </c>
      <c r="W100" s="22">
        <v>0.2732849</v>
      </c>
      <c r="X100" s="9"/>
      <c r="Y100" s="1">
        <v>42</v>
      </c>
      <c r="Z100" s="9" t="s">
        <v>173</v>
      </c>
      <c r="AA100" s="22">
        <v>0.60188436000000001</v>
      </c>
      <c r="AB100" s="9"/>
      <c r="AC100" s="1">
        <v>42</v>
      </c>
      <c r="AD100" s="9" t="s">
        <v>155</v>
      </c>
      <c r="AE100" s="35">
        <v>0.23031994</v>
      </c>
      <c r="AF100" s="9"/>
      <c r="AG100" s="1">
        <v>42</v>
      </c>
      <c r="AH100" s="9" t="s">
        <v>208</v>
      </c>
      <c r="AI100" s="22">
        <v>0.61246942000000004</v>
      </c>
    </row>
    <row r="101" spans="1:35" x14ac:dyDescent="0.2">
      <c r="A101" s="1">
        <v>43</v>
      </c>
      <c r="B101" s="9" t="s">
        <v>220</v>
      </c>
      <c r="C101" s="22">
        <v>0.61972472999999995</v>
      </c>
      <c r="D101" s="9"/>
      <c r="E101" s="1">
        <v>43</v>
      </c>
      <c r="F101" s="9" t="s">
        <v>195</v>
      </c>
      <c r="G101" s="26">
        <v>0.49146794999999999</v>
      </c>
      <c r="H101" s="9"/>
      <c r="I101" s="1">
        <v>43</v>
      </c>
      <c r="J101" s="9" t="s">
        <v>199</v>
      </c>
      <c r="K101" s="22">
        <v>0.35909407999999998</v>
      </c>
      <c r="L101" s="9"/>
      <c r="M101" s="1">
        <v>43</v>
      </c>
      <c r="N101" s="9" t="s">
        <v>216</v>
      </c>
      <c r="O101" s="22">
        <v>0.48062554000000002</v>
      </c>
      <c r="P101" s="9"/>
      <c r="Q101" s="1">
        <v>43</v>
      </c>
      <c r="R101" s="9" t="s">
        <v>173</v>
      </c>
      <c r="S101" s="26">
        <v>0.44595879999999999</v>
      </c>
      <c r="T101" s="9"/>
      <c r="U101" s="1">
        <v>43</v>
      </c>
      <c r="V101" s="9" t="s">
        <v>198</v>
      </c>
      <c r="W101" s="22">
        <v>0.26967677000000001</v>
      </c>
      <c r="X101" s="9"/>
      <c r="Y101" s="1">
        <v>43</v>
      </c>
      <c r="Z101" s="9" t="s">
        <v>130</v>
      </c>
      <c r="AA101" s="22">
        <v>0.60041124000000001</v>
      </c>
      <c r="AB101" s="9"/>
      <c r="AC101" s="1">
        <v>43</v>
      </c>
      <c r="AD101" s="9" t="s">
        <v>199</v>
      </c>
      <c r="AE101" s="35">
        <v>0.22296727</v>
      </c>
      <c r="AF101" s="9"/>
      <c r="AG101" s="1">
        <v>43</v>
      </c>
      <c r="AH101" s="9" t="s">
        <v>161</v>
      </c>
      <c r="AI101" s="22">
        <v>0.60627547999999998</v>
      </c>
    </row>
    <row r="102" spans="1:35" x14ac:dyDescent="0.2">
      <c r="A102" s="1">
        <v>44</v>
      </c>
      <c r="B102" s="9" t="s">
        <v>176</v>
      </c>
      <c r="C102" s="22">
        <v>0.61547295000000002</v>
      </c>
      <c r="D102" s="9"/>
      <c r="E102" s="1">
        <v>44</v>
      </c>
      <c r="F102" s="9" t="s">
        <v>216</v>
      </c>
      <c r="G102" s="26">
        <v>0.49146794999999999</v>
      </c>
      <c r="H102" s="9"/>
      <c r="I102" s="1">
        <v>44</v>
      </c>
      <c r="J102" s="9" t="s">
        <v>167</v>
      </c>
      <c r="K102" s="22">
        <v>0.35864194999999999</v>
      </c>
      <c r="L102" s="9"/>
      <c r="M102" s="1">
        <v>44</v>
      </c>
      <c r="N102" s="9" t="s">
        <v>156</v>
      </c>
      <c r="O102" s="22">
        <v>0.47995542000000002</v>
      </c>
      <c r="P102" s="9"/>
      <c r="Q102" s="1">
        <v>44</v>
      </c>
      <c r="R102" s="9" t="s">
        <v>148</v>
      </c>
      <c r="S102" s="26">
        <v>0.44501011000000001</v>
      </c>
      <c r="T102" s="9"/>
      <c r="U102" s="1">
        <v>44</v>
      </c>
      <c r="V102" s="9" t="s">
        <v>163</v>
      </c>
      <c r="W102" s="22">
        <v>0.26928105000000002</v>
      </c>
      <c r="X102" s="9"/>
      <c r="Y102" s="1">
        <v>44</v>
      </c>
      <c r="Z102" s="9" t="s">
        <v>203</v>
      </c>
      <c r="AA102" s="22">
        <v>0.58451319000000002</v>
      </c>
      <c r="AB102" s="9"/>
      <c r="AC102" s="1">
        <v>44</v>
      </c>
      <c r="AD102" s="9" t="s">
        <v>176</v>
      </c>
      <c r="AE102" s="35">
        <v>0.22293102000000001</v>
      </c>
      <c r="AF102" s="9"/>
      <c r="AG102" s="1">
        <v>44</v>
      </c>
      <c r="AH102" s="9" t="s">
        <v>106</v>
      </c>
      <c r="AI102" s="22">
        <v>0.60361385999999995</v>
      </c>
    </row>
    <row r="103" spans="1:35" x14ac:dyDescent="0.2">
      <c r="A103" s="1">
        <v>45</v>
      </c>
      <c r="B103" s="9" t="s">
        <v>159</v>
      </c>
      <c r="C103" s="22">
        <v>0.61381123000000004</v>
      </c>
      <c r="D103" s="9"/>
      <c r="E103" s="1">
        <v>45</v>
      </c>
      <c r="F103" s="9" t="s">
        <v>266</v>
      </c>
      <c r="G103" s="26">
        <v>0.49146794999999999</v>
      </c>
      <c r="H103" s="9"/>
      <c r="I103" s="1">
        <v>45</v>
      </c>
      <c r="J103" s="9" t="s">
        <v>220</v>
      </c>
      <c r="K103" s="22">
        <v>0.35606275999999998</v>
      </c>
      <c r="L103" s="9"/>
      <c r="M103" s="1">
        <v>45</v>
      </c>
      <c r="N103" s="9" t="s">
        <v>254</v>
      </c>
      <c r="O103" s="22">
        <v>0.46741588000000001</v>
      </c>
      <c r="P103" s="9"/>
      <c r="Q103" s="1">
        <v>45</v>
      </c>
      <c r="R103" s="9" t="s">
        <v>206</v>
      </c>
      <c r="S103" s="26">
        <v>0.44185774</v>
      </c>
      <c r="T103" s="9"/>
      <c r="U103" s="1">
        <v>45</v>
      </c>
      <c r="V103" s="9" t="s">
        <v>109</v>
      </c>
      <c r="W103" s="22">
        <v>0.26709384000000003</v>
      </c>
      <c r="X103" s="9"/>
      <c r="Y103" s="1">
        <v>45</v>
      </c>
      <c r="Z103" s="9" t="s">
        <v>254</v>
      </c>
      <c r="AA103" s="22">
        <v>0.58135148999999997</v>
      </c>
      <c r="AB103" s="9"/>
      <c r="AC103" s="1">
        <v>45</v>
      </c>
      <c r="AD103" s="9" t="s">
        <v>254</v>
      </c>
      <c r="AE103" s="35">
        <v>0.22025441000000001</v>
      </c>
      <c r="AF103" s="9"/>
      <c r="AG103" s="1">
        <v>45</v>
      </c>
      <c r="AH103" s="9" t="s">
        <v>194</v>
      </c>
      <c r="AI103" s="22">
        <v>0.60271112000000004</v>
      </c>
    </row>
    <row r="104" spans="1:35" x14ac:dyDescent="0.2">
      <c r="A104" s="1">
        <v>46</v>
      </c>
      <c r="B104" s="9" t="s">
        <v>225</v>
      </c>
      <c r="C104" s="22">
        <v>0.60935901000000003</v>
      </c>
      <c r="D104" s="9"/>
      <c r="E104" s="1">
        <v>46</v>
      </c>
      <c r="F104" s="9" t="s">
        <v>142</v>
      </c>
      <c r="G104" s="26">
        <v>0.48972874</v>
      </c>
      <c r="H104" s="9"/>
      <c r="I104" s="1">
        <v>46</v>
      </c>
      <c r="J104" s="9" t="s">
        <v>262</v>
      </c>
      <c r="K104" s="22">
        <v>0.35127160000000002</v>
      </c>
      <c r="L104" s="9"/>
      <c r="M104" s="1">
        <v>46</v>
      </c>
      <c r="N104" s="9" t="s">
        <v>210</v>
      </c>
      <c r="O104" s="22">
        <v>0.46733965999999999</v>
      </c>
      <c r="P104" s="9"/>
      <c r="Q104" s="1">
        <v>46</v>
      </c>
      <c r="R104" s="9" t="s">
        <v>263</v>
      </c>
      <c r="S104" s="26">
        <v>0.43685399000000003</v>
      </c>
      <c r="T104" s="9"/>
      <c r="U104" s="1">
        <v>46</v>
      </c>
      <c r="V104" s="9" t="s">
        <v>231</v>
      </c>
      <c r="W104" s="22">
        <v>0.26473208999999998</v>
      </c>
      <c r="X104" s="9"/>
      <c r="Y104" s="1">
        <v>46</v>
      </c>
      <c r="Z104" s="9" t="s">
        <v>133</v>
      </c>
      <c r="AA104" s="22">
        <v>0.56997083999999998</v>
      </c>
      <c r="AB104" s="9"/>
      <c r="AC104" s="1">
        <v>46</v>
      </c>
      <c r="AD104" s="9" t="s">
        <v>190</v>
      </c>
      <c r="AE104" s="35">
        <v>0.21977457</v>
      </c>
      <c r="AF104" s="9"/>
      <c r="AG104" s="1">
        <v>46</v>
      </c>
      <c r="AH104" s="9" t="s">
        <v>160</v>
      </c>
      <c r="AI104" s="22">
        <v>0.59855853000000003</v>
      </c>
    </row>
    <row r="105" spans="1:35" x14ac:dyDescent="0.2">
      <c r="A105" s="1">
        <v>47</v>
      </c>
      <c r="B105" s="9" t="s">
        <v>189</v>
      </c>
      <c r="C105" s="22">
        <v>0.60050186999999999</v>
      </c>
      <c r="D105" s="9"/>
      <c r="E105" s="1">
        <v>47</v>
      </c>
      <c r="F105" s="9" t="s">
        <v>189</v>
      </c>
      <c r="G105" s="26">
        <v>0.48728631</v>
      </c>
      <c r="H105" s="9"/>
      <c r="I105" s="1">
        <v>47</v>
      </c>
      <c r="J105" s="9" t="s">
        <v>168</v>
      </c>
      <c r="K105" s="22">
        <v>0.34575963999999998</v>
      </c>
      <c r="L105" s="9"/>
      <c r="M105" s="1">
        <v>47</v>
      </c>
      <c r="N105" s="9" t="s">
        <v>182</v>
      </c>
      <c r="O105" s="22">
        <v>0.46673568999999998</v>
      </c>
      <c r="P105" s="9"/>
      <c r="Q105" s="1">
        <v>47</v>
      </c>
      <c r="R105" s="9" t="s">
        <v>292</v>
      </c>
      <c r="S105" s="26">
        <v>0.43573492000000003</v>
      </c>
      <c r="T105" s="9"/>
      <c r="U105" s="1">
        <v>47</v>
      </c>
      <c r="V105" s="9" t="s">
        <v>115</v>
      </c>
      <c r="W105" s="22">
        <v>0.26209046000000003</v>
      </c>
      <c r="X105" s="9"/>
      <c r="Y105" s="1">
        <v>47</v>
      </c>
      <c r="Z105" s="9" t="s">
        <v>220</v>
      </c>
      <c r="AA105" s="22">
        <v>0.5695289</v>
      </c>
      <c r="AB105" s="9"/>
      <c r="AC105" s="1">
        <v>47</v>
      </c>
      <c r="AD105" s="9" t="s">
        <v>290</v>
      </c>
      <c r="AE105" s="35">
        <v>0.21800721000000001</v>
      </c>
      <c r="AF105" s="9"/>
      <c r="AG105" s="1">
        <v>47</v>
      </c>
      <c r="AH105" s="9" t="s">
        <v>198</v>
      </c>
      <c r="AI105" s="22">
        <v>0.59700348999999997</v>
      </c>
    </row>
    <row r="106" spans="1:35" x14ac:dyDescent="0.2">
      <c r="A106" s="1">
        <v>48</v>
      </c>
      <c r="B106" s="9" t="s">
        <v>240</v>
      </c>
      <c r="C106" s="22">
        <v>0.59855230000000004</v>
      </c>
      <c r="D106" s="9"/>
      <c r="E106" s="1">
        <v>48</v>
      </c>
      <c r="F106" s="9" t="s">
        <v>260</v>
      </c>
      <c r="G106" s="26">
        <v>0.48588020999999998</v>
      </c>
      <c r="H106" s="9"/>
      <c r="I106" s="1">
        <v>48</v>
      </c>
      <c r="J106" s="9" t="s">
        <v>196</v>
      </c>
      <c r="K106" s="22">
        <v>0.34554874000000002</v>
      </c>
      <c r="L106" s="9"/>
      <c r="M106" s="1">
        <v>48</v>
      </c>
      <c r="N106" s="9" t="s">
        <v>153</v>
      </c>
      <c r="O106" s="22">
        <v>0.46139775999999999</v>
      </c>
      <c r="P106" s="9"/>
      <c r="Q106" s="1">
        <v>48</v>
      </c>
      <c r="R106" s="9" t="s">
        <v>128</v>
      </c>
      <c r="S106" s="26">
        <v>0.43040390000000001</v>
      </c>
      <c r="T106" s="9"/>
      <c r="U106" s="1">
        <v>48</v>
      </c>
      <c r="V106" s="9" t="s">
        <v>141</v>
      </c>
      <c r="W106" s="22">
        <v>0.25661824</v>
      </c>
      <c r="X106" s="9"/>
      <c r="Y106" s="1">
        <v>48</v>
      </c>
      <c r="Z106" s="9" t="s">
        <v>253</v>
      </c>
      <c r="AA106" s="22">
        <v>0.56938266000000004</v>
      </c>
      <c r="AB106" s="9"/>
      <c r="AC106" s="1">
        <v>48</v>
      </c>
      <c r="AD106" s="9" t="s">
        <v>162</v>
      </c>
      <c r="AE106" s="35">
        <v>0.21776221000000001</v>
      </c>
      <c r="AF106" s="9"/>
      <c r="AG106" s="1">
        <v>48</v>
      </c>
      <c r="AH106" s="9" t="s">
        <v>162</v>
      </c>
      <c r="AI106" s="22">
        <v>0.58415841999999996</v>
      </c>
    </row>
    <row r="107" spans="1:35" x14ac:dyDescent="0.2">
      <c r="A107" s="1">
        <v>49</v>
      </c>
      <c r="B107" s="9" t="s">
        <v>253</v>
      </c>
      <c r="C107" s="22">
        <v>0.59804526000000002</v>
      </c>
      <c r="D107" s="9"/>
      <c r="E107" s="1">
        <v>49</v>
      </c>
      <c r="F107" s="9" t="s">
        <v>162</v>
      </c>
      <c r="G107" s="26">
        <v>0.48578461000000001</v>
      </c>
      <c r="H107" s="9"/>
      <c r="I107" s="1">
        <v>49</v>
      </c>
      <c r="J107" s="9" t="s">
        <v>257</v>
      </c>
      <c r="K107" s="22">
        <v>0.34288869999999999</v>
      </c>
      <c r="L107" s="9"/>
      <c r="M107" s="1">
        <v>49</v>
      </c>
      <c r="N107" s="9" t="s">
        <v>151</v>
      </c>
      <c r="O107" s="22">
        <v>0.45931838000000003</v>
      </c>
      <c r="P107" s="9"/>
      <c r="Q107" s="1">
        <v>49</v>
      </c>
      <c r="R107" s="9" t="s">
        <v>158</v>
      </c>
      <c r="S107" s="26">
        <v>0.42744014000000002</v>
      </c>
      <c r="T107" s="9"/>
      <c r="U107" s="1">
        <v>49</v>
      </c>
      <c r="V107" s="9" t="s">
        <v>171</v>
      </c>
      <c r="W107" s="22">
        <v>0.25160698999999997</v>
      </c>
      <c r="X107" s="9"/>
      <c r="Y107" s="1">
        <v>49</v>
      </c>
      <c r="Z107" s="9" t="s">
        <v>186</v>
      </c>
      <c r="AA107" s="22">
        <v>0.56680580999999997</v>
      </c>
      <c r="AB107" s="9"/>
      <c r="AC107" s="1">
        <v>49</v>
      </c>
      <c r="AD107" s="9" t="s">
        <v>225</v>
      </c>
      <c r="AE107" s="35">
        <v>0.21615920999999999</v>
      </c>
      <c r="AF107" s="9"/>
      <c r="AG107" s="1">
        <v>49</v>
      </c>
      <c r="AH107" s="9" t="s">
        <v>232</v>
      </c>
      <c r="AI107" s="22">
        <v>0.58371287000000005</v>
      </c>
    </row>
    <row r="108" spans="1:35" x14ac:dyDescent="0.2">
      <c r="A108" s="1">
        <v>50</v>
      </c>
      <c r="B108" s="9" t="s">
        <v>177</v>
      </c>
      <c r="C108" s="22">
        <v>0.596638</v>
      </c>
      <c r="D108" s="9"/>
      <c r="E108" s="1">
        <v>50</v>
      </c>
      <c r="F108" s="9" t="s">
        <v>190</v>
      </c>
      <c r="G108" s="26">
        <v>0.48323694</v>
      </c>
      <c r="H108" s="9"/>
      <c r="I108" s="1">
        <v>50</v>
      </c>
      <c r="J108" s="9" t="s">
        <v>189</v>
      </c>
      <c r="K108" s="22">
        <v>0.34170819000000002</v>
      </c>
      <c r="L108" s="9"/>
      <c r="M108" s="1">
        <v>50</v>
      </c>
      <c r="N108" s="9" t="s">
        <v>174</v>
      </c>
      <c r="O108" s="22">
        <v>0.45031348999999998</v>
      </c>
      <c r="P108" s="9"/>
      <c r="Q108" s="1">
        <v>50</v>
      </c>
      <c r="R108" s="9" t="s">
        <v>203</v>
      </c>
      <c r="S108" s="26">
        <v>0.42444409999999999</v>
      </c>
      <c r="T108" s="9"/>
      <c r="U108" s="1">
        <v>50</v>
      </c>
      <c r="V108" s="9" t="s">
        <v>208</v>
      </c>
      <c r="W108" s="22">
        <v>0.24980738</v>
      </c>
      <c r="X108" s="9"/>
      <c r="Y108" s="1">
        <v>50</v>
      </c>
      <c r="Z108" s="9" t="s">
        <v>127</v>
      </c>
      <c r="AA108" s="22">
        <v>0.56017689000000004</v>
      </c>
      <c r="AB108" s="9"/>
      <c r="AC108" s="1">
        <v>50</v>
      </c>
      <c r="AD108" s="9" t="s">
        <v>208</v>
      </c>
      <c r="AE108" s="35">
        <v>0.20864173</v>
      </c>
      <c r="AF108" s="9"/>
      <c r="AG108" s="1">
        <v>50</v>
      </c>
      <c r="AH108" s="9" t="s">
        <v>125</v>
      </c>
      <c r="AI108" s="22">
        <v>0.58282177999999996</v>
      </c>
    </row>
    <row r="109" spans="1:35" x14ac:dyDescent="0.2">
      <c r="A109" s="1">
        <v>51</v>
      </c>
      <c r="B109" s="9" t="s">
        <v>194</v>
      </c>
      <c r="C109" s="22">
        <v>0.59573973000000002</v>
      </c>
      <c r="D109" s="9"/>
      <c r="E109" s="1">
        <v>51</v>
      </c>
      <c r="F109" s="9" t="s">
        <v>161</v>
      </c>
      <c r="G109" s="26">
        <v>0.48202370999999999</v>
      </c>
      <c r="H109" s="9"/>
      <c r="I109" s="1">
        <v>51</v>
      </c>
      <c r="J109" s="9" t="s">
        <v>176</v>
      </c>
      <c r="K109" s="22">
        <v>0.33671832000000002</v>
      </c>
      <c r="L109" s="9"/>
      <c r="M109" s="1">
        <v>51</v>
      </c>
      <c r="N109" s="9" t="s">
        <v>159</v>
      </c>
      <c r="O109" s="22">
        <v>0.44899338999999999</v>
      </c>
      <c r="P109" s="9"/>
      <c r="Q109" s="1">
        <v>51</v>
      </c>
      <c r="R109" s="9" t="s">
        <v>229</v>
      </c>
      <c r="S109" s="26">
        <v>0.42315491</v>
      </c>
      <c r="T109" s="9"/>
      <c r="U109" s="1">
        <v>51</v>
      </c>
      <c r="V109" s="9" t="s">
        <v>223</v>
      </c>
      <c r="W109" s="22">
        <v>0.24946931</v>
      </c>
      <c r="X109" s="9"/>
      <c r="Y109" s="1">
        <v>51</v>
      </c>
      <c r="Z109" s="9" t="s">
        <v>185</v>
      </c>
      <c r="AA109" s="22">
        <v>0.55846958999999996</v>
      </c>
      <c r="AB109" s="9"/>
      <c r="AC109" s="1">
        <v>51</v>
      </c>
      <c r="AD109" s="9" t="s">
        <v>127</v>
      </c>
      <c r="AE109" s="35">
        <v>0.20540151000000001</v>
      </c>
      <c r="AF109" s="9"/>
      <c r="AG109" s="1">
        <v>51</v>
      </c>
      <c r="AH109" s="9" t="s">
        <v>222</v>
      </c>
      <c r="AI109" s="22">
        <v>0.56930692999999999</v>
      </c>
    </row>
    <row r="110" spans="1:35" x14ac:dyDescent="0.2">
      <c r="A110" s="1">
        <v>52</v>
      </c>
      <c r="B110" s="9" t="s">
        <v>156</v>
      </c>
      <c r="C110" s="22">
        <v>0.59246604000000003</v>
      </c>
      <c r="D110" s="9"/>
      <c r="E110" s="1">
        <v>52</v>
      </c>
      <c r="F110" s="9" t="s">
        <v>177</v>
      </c>
      <c r="G110" s="26">
        <v>0.47943743999999999</v>
      </c>
      <c r="H110" s="9"/>
      <c r="I110" s="1">
        <v>52</v>
      </c>
      <c r="J110" s="9" t="s">
        <v>133</v>
      </c>
      <c r="K110" s="22">
        <v>0.33600639999999998</v>
      </c>
      <c r="L110" s="9"/>
      <c r="M110" s="1">
        <v>52</v>
      </c>
      <c r="N110" s="9" t="s">
        <v>183</v>
      </c>
      <c r="O110" s="22">
        <v>0.44860368</v>
      </c>
      <c r="P110" s="9"/>
      <c r="Q110" s="1">
        <v>52</v>
      </c>
      <c r="R110" s="9" t="s">
        <v>269</v>
      </c>
      <c r="S110" s="26">
        <v>0.42306460000000001</v>
      </c>
      <c r="T110" s="9"/>
      <c r="U110" s="1">
        <v>52</v>
      </c>
      <c r="V110" s="9" t="s">
        <v>147</v>
      </c>
      <c r="W110" s="22">
        <v>0.24120581999999999</v>
      </c>
      <c r="X110" s="9"/>
      <c r="Y110" s="1">
        <v>52</v>
      </c>
      <c r="Z110" s="9" t="s">
        <v>148</v>
      </c>
      <c r="AA110" s="22">
        <v>0.55569296000000001</v>
      </c>
      <c r="AB110" s="9"/>
      <c r="AC110" s="1">
        <v>52</v>
      </c>
      <c r="AD110" s="9" t="s">
        <v>174</v>
      </c>
      <c r="AE110" s="35">
        <v>0.20317415999999999</v>
      </c>
      <c r="AF110" s="9"/>
      <c r="AG110" s="1">
        <v>52</v>
      </c>
      <c r="AH110" s="9" t="s">
        <v>147</v>
      </c>
      <c r="AI110" s="22">
        <v>0.56590273999999996</v>
      </c>
    </row>
    <row r="111" spans="1:35" x14ac:dyDescent="0.2">
      <c r="A111" s="1">
        <v>53</v>
      </c>
      <c r="B111" s="9" t="s">
        <v>210</v>
      </c>
      <c r="C111" s="22">
        <v>0.59063617000000002</v>
      </c>
      <c r="D111" s="9"/>
      <c r="E111" s="1">
        <v>53</v>
      </c>
      <c r="F111" s="9" t="s">
        <v>176</v>
      </c>
      <c r="G111" s="26">
        <v>0.47101859000000001</v>
      </c>
      <c r="H111" s="9"/>
      <c r="I111" s="1">
        <v>53</v>
      </c>
      <c r="J111" s="9" t="s">
        <v>254</v>
      </c>
      <c r="K111" s="22">
        <v>0.32955567000000002</v>
      </c>
      <c r="L111" s="9"/>
      <c r="M111" s="1">
        <v>53</v>
      </c>
      <c r="N111" s="9" t="s">
        <v>226</v>
      </c>
      <c r="O111" s="22">
        <v>0.44859792999999998</v>
      </c>
      <c r="P111" s="9"/>
      <c r="Q111" s="1">
        <v>53</v>
      </c>
      <c r="R111" s="9" t="s">
        <v>236</v>
      </c>
      <c r="S111" s="26">
        <v>0.42123312000000002</v>
      </c>
      <c r="T111" s="9"/>
      <c r="U111" s="1">
        <v>53</v>
      </c>
      <c r="V111" s="9" t="s">
        <v>128</v>
      </c>
      <c r="W111" s="22">
        <v>0.23971152000000001</v>
      </c>
      <c r="X111" s="9"/>
      <c r="Y111" s="1">
        <v>53</v>
      </c>
      <c r="Z111" s="9" t="s">
        <v>147</v>
      </c>
      <c r="AA111" s="22">
        <v>0.55104310000000001</v>
      </c>
      <c r="AB111" s="9"/>
      <c r="AC111" s="1">
        <v>53</v>
      </c>
      <c r="AD111" s="9" t="s">
        <v>253</v>
      </c>
      <c r="AE111" s="35">
        <v>0.20217034</v>
      </c>
      <c r="AF111" s="9"/>
      <c r="AG111" s="1">
        <v>53</v>
      </c>
      <c r="AH111" s="9" t="s">
        <v>227</v>
      </c>
      <c r="AI111" s="22">
        <v>0.55763249999999998</v>
      </c>
    </row>
    <row r="112" spans="1:35" x14ac:dyDescent="0.2">
      <c r="A112" s="1">
        <v>54</v>
      </c>
      <c r="B112" s="9" t="s">
        <v>291</v>
      </c>
      <c r="C112" s="22">
        <v>0.59036226000000003</v>
      </c>
      <c r="D112" s="9"/>
      <c r="E112" s="1">
        <v>54</v>
      </c>
      <c r="F112" s="9" t="s">
        <v>200</v>
      </c>
      <c r="G112" s="26">
        <v>0.46883675000000002</v>
      </c>
      <c r="H112" s="9"/>
      <c r="I112" s="1">
        <v>54</v>
      </c>
      <c r="J112" s="9" t="s">
        <v>200</v>
      </c>
      <c r="K112" s="22">
        <v>0.32708124999999999</v>
      </c>
      <c r="L112" s="9"/>
      <c r="M112" s="1">
        <v>54</v>
      </c>
      <c r="N112" s="9" t="s">
        <v>178</v>
      </c>
      <c r="O112" s="22">
        <v>0.44360512000000002</v>
      </c>
      <c r="P112" s="9"/>
      <c r="Q112" s="1">
        <v>54</v>
      </c>
      <c r="R112" s="9" t="s">
        <v>151</v>
      </c>
      <c r="S112" s="26">
        <v>0.41716876000000003</v>
      </c>
      <c r="T112" s="9"/>
      <c r="U112" s="1">
        <v>54</v>
      </c>
      <c r="V112" s="9" t="s">
        <v>145</v>
      </c>
      <c r="W112" s="22">
        <v>0.23375945000000001</v>
      </c>
      <c r="X112" s="9"/>
      <c r="Y112" s="1">
        <v>54</v>
      </c>
      <c r="Z112" s="9" t="s">
        <v>138</v>
      </c>
      <c r="AA112" s="22">
        <v>0.55089321000000002</v>
      </c>
      <c r="AB112" s="9"/>
      <c r="AC112" s="1">
        <v>54</v>
      </c>
      <c r="AD112" s="9" t="s">
        <v>183</v>
      </c>
      <c r="AE112" s="35">
        <v>0.1975114</v>
      </c>
      <c r="AF112" s="9"/>
      <c r="AG112" s="1">
        <v>54</v>
      </c>
      <c r="AH112" s="9" t="s">
        <v>211</v>
      </c>
      <c r="AI112" s="22">
        <v>0.54455445999999996</v>
      </c>
    </row>
    <row r="113" spans="1:35" x14ac:dyDescent="0.2">
      <c r="A113" s="1">
        <v>55</v>
      </c>
      <c r="B113" s="9" t="s">
        <v>145</v>
      </c>
      <c r="C113" s="22">
        <v>0.58364207000000001</v>
      </c>
      <c r="D113" s="9"/>
      <c r="E113" s="1">
        <v>55</v>
      </c>
      <c r="F113" s="9" t="s">
        <v>170</v>
      </c>
      <c r="G113" s="26">
        <v>0.46854737000000002</v>
      </c>
      <c r="H113" s="9"/>
      <c r="I113" s="1">
        <v>55</v>
      </c>
      <c r="J113" s="9" t="s">
        <v>174</v>
      </c>
      <c r="K113" s="22">
        <v>0.32656469999999999</v>
      </c>
      <c r="L113" s="9"/>
      <c r="M113" s="1">
        <v>55</v>
      </c>
      <c r="N113" s="9" t="s">
        <v>137</v>
      </c>
      <c r="O113" s="22">
        <v>0.44295801000000001</v>
      </c>
      <c r="P113" s="9"/>
      <c r="Q113" s="1">
        <v>55</v>
      </c>
      <c r="R113" s="9" t="s">
        <v>289</v>
      </c>
      <c r="S113" s="26">
        <v>0.41671604000000001</v>
      </c>
      <c r="T113" s="9"/>
      <c r="U113" s="1">
        <v>55</v>
      </c>
      <c r="V113" s="9" t="s">
        <v>257</v>
      </c>
      <c r="W113" s="22">
        <v>0.23319023999999999</v>
      </c>
      <c r="X113" s="9"/>
      <c r="Y113" s="1">
        <v>55</v>
      </c>
      <c r="Z113" s="9" t="s">
        <v>145</v>
      </c>
      <c r="AA113" s="22">
        <v>0.54857341999999998</v>
      </c>
      <c r="AB113" s="9"/>
      <c r="AC113" s="1">
        <v>55</v>
      </c>
      <c r="AD113" s="9" t="s">
        <v>118</v>
      </c>
      <c r="AE113" s="35">
        <v>0.19419537000000001</v>
      </c>
      <c r="AF113" s="9"/>
      <c r="AG113" s="1">
        <v>55</v>
      </c>
      <c r="AH113" s="9" t="s">
        <v>188</v>
      </c>
      <c r="AI113" s="22">
        <v>0.54018927999999999</v>
      </c>
    </row>
    <row r="114" spans="1:35" x14ac:dyDescent="0.2">
      <c r="A114" s="1">
        <v>56</v>
      </c>
      <c r="B114" s="9" t="s">
        <v>191</v>
      </c>
      <c r="C114" s="22">
        <v>0.57668406999999999</v>
      </c>
      <c r="D114" s="9"/>
      <c r="E114" s="1">
        <v>56</v>
      </c>
      <c r="F114" s="9" t="s">
        <v>128</v>
      </c>
      <c r="G114" s="26">
        <v>0.46746911000000002</v>
      </c>
      <c r="H114" s="9"/>
      <c r="I114" s="1">
        <v>56</v>
      </c>
      <c r="J114" s="9" t="s">
        <v>206</v>
      </c>
      <c r="K114" s="22">
        <v>0.32444415999999998</v>
      </c>
      <c r="L114" s="9"/>
      <c r="M114" s="1">
        <v>56</v>
      </c>
      <c r="N114" s="9" t="s">
        <v>190</v>
      </c>
      <c r="O114" s="22">
        <v>0.44230082999999998</v>
      </c>
      <c r="P114" s="9"/>
      <c r="Q114" s="1">
        <v>56</v>
      </c>
      <c r="R114" s="9" t="s">
        <v>257</v>
      </c>
      <c r="S114" s="26">
        <v>0.41536469999999998</v>
      </c>
      <c r="T114" s="9"/>
      <c r="U114" s="1">
        <v>56</v>
      </c>
      <c r="V114" s="9" t="s">
        <v>144</v>
      </c>
      <c r="W114" s="22">
        <v>0.23192708000000001</v>
      </c>
      <c r="X114" s="9"/>
      <c r="Y114" s="1">
        <v>56</v>
      </c>
      <c r="Z114" s="9" t="s">
        <v>141</v>
      </c>
      <c r="AA114" s="22">
        <v>0.54767999000000001</v>
      </c>
      <c r="AB114" s="9"/>
      <c r="AC114" s="1">
        <v>56</v>
      </c>
      <c r="AD114" s="9" t="s">
        <v>257</v>
      </c>
      <c r="AE114" s="35">
        <v>0.18587339</v>
      </c>
      <c r="AF114" s="9"/>
      <c r="AG114" s="1">
        <v>56</v>
      </c>
      <c r="AH114" s="9" t="s">
        <v>260</v>
      </c>
      <c r="AI114" s="22">
        <v>0.53365172000000005</v>
      </c>
    </row>
    <row r="115" spans="1:35" x14ac:dyDescent="0.2">
      <c r="A115" s="1">
        <v>57</v>
      </c>
      <c r="B115" s="9" t="s">
        <v>190</v>
      </c>
      <c r="C115" s="22">
        <v>0.57223906999999996</v>
      </c>
      <c r="D115" s="9"/>
      <c r="E115" s="1">
        <v>57</v>
      </c>
      <c r="F115" s="9" t="s">
        <v>118</v>
      </c>
      <c r="G115" s="26">
        <v>0.46727201000000002</v>
      </c>
      <c r="H115" s="9"/>
      <c r="I115" s="1">
        <v>57</v>
      </c>
      <c r="J115" s="9" t="s">
        <v>149</v>
      </c>
      <c r="K115" s="22">
        <v>0.31370072999999998</v>
      </c>
      <c r="L115" s="9"/>
      <c r="M115" s="1">
        <v>57</v>
      </c>
      <c r="N115" s="9" t="s">
        <v>194</v>
      </c>
      <c r="O115" s="22">
        <v>0.43815646000000003</v>
      </c>
      <c r="P115" s="9"/>
      <c r="Q115" s="1">
        <v>57</v>
      </c>
      <c r="R115" s="9" t="s">
        <v>150</v>
      </c>
      <c r="S115" s="26">
        <v>0.41287402000000001</v>
      </c>
      <c r="T115" s="9"/>
      <c r="U115" s="1">
        <v>57</v>
      </c>
      <c r="V115" s="9" t="s">
        <v>191</v>
      </c>
      <c r="W115" s="22">
        <v>0.23185265999999999</v>
      </c>
      <c r="X115" s="9"/>
      <c r="Y115" s="1">
        <v>57</v>
      </c>
      <c r="Z115" s="9" t="s">
        <v>175</v>
      </c>
      <c r="AA115" s="22">
        <v>0.54599416999999995</v>
      </c>
      <c r="AB115" s="9"/>
      <c r="AC115" s="1">
        <v>57</v>
      </c>
      <c r="AD115" s="9" t="s">
        <v>130</v>
      </c>
      <c r="AE115" s="35">
        <v>0.18430961000000001</v>
      </c>
      <c r="AF115" s="9"/>
      <c r="AG115" s="1">
        <v>57</v>
      </c>
      <c r="AH115" s="9" t="s">
        <v>174</v>
      </c>
      <c r="AI115" s="22">
        <v>0.53295574000000001</v>
      </c>
    </row>
    <row r="116" spans="1:35" x14ac:dyDescent="0.2">
      <c r="A116" s="1">
        <v>58</v>
      </c>
      <c r="B116" s="9" t="s">
        <v>122</v>
      </c>
      <c r="C116" s="22">
        <v>0.57099705999999995</v>
      </c>
      <c r="D116" s="9"/>
      <c r="E116" s="1">
        <v>58</v>
      </c>
      <c r="F116" s="9" t="s">
        <v>206</v>
      </c>
      <c r="G116" s="26">
        <v>0.46197591999999998</v>
      </c>
      <c r="H116" s="9"/>
      <c r="I116" s="1">
        <v>58</v>
      </c>
      <c r="J116" s="9" t="s">
        <v>222</v>
      </c>
      <c r="K116" s="22">
        <v>0.29860807</v>
      </c>
      <c r="L116" s="9"/>
      <c r="M116" s="1">
        <v>58</v>
      </c>
      <c r="N116" s="9" t="s">
        <v>144</v>
      </c>
      <c r="O116" s="22">
        <v>0.43747051999999997</v>
      </c>
      <c r="P116" s="9"/>
      <c r="Q116" s="1">
        <v>58</v>
      </c>
      <c r="R116" s="9" t="s">
        <v>185</v>
      </c>
      <c r="S116" s="26">
        <v>0.41230070000000002</v>
      </c>
      <c r="T116" s="9"/>
      <c r="U116" s="1">
        <v>58</v>
      </c>
      <c r="V116" s="9" t="s">
        <v>155</v>
      </c>
      <c r="W116" s="22">
        <v>0.22538090999999999</v>
      </c>
      <c r="X116" s="9"/>
      <c r="Y116" s="1">
        <v>58</v>
      </c>
      <c r="Z116" s="9" t="s">
        <v>158</v>
      </c>
      <c r="AA116" s="22">
        <v>0.54337283000000003</v>
      </c>
      <c r="AB116" s="9"/>
      <c r="AC116" s="1">
        <v>58</v>
      </c>
      <c r="AD116" s="9" t="s">
        <v>265</v>
      </c>
      <c r="AE116" s="35">
        <v>0.1839237</v>
      </c>
      <c r="AF116" s="9"/>
      <c r="AG116" s="1">
        <v>58</v>
      </c>
      <c r="AH116" s="9" t="s">
        <v>127</v>
      </c>
      <c r="AI116" s="22">
        <v>0.5305067</v>
      </c>
    </row>
    <row r="117" spans="1:35" x14ac:dyDescent="0.2">
      <c r="A117" s="1">
        <v>59</v>
      </c>
      <c r="B117" s="9" t="s">
        <v>174</v>
      </c>
      <c r="C117" s="22">
        <v>0.56325532</v>
      </c>
      <c r="D117" s="9"/>
      <c r="E117" s="1">
        <v>59</v>
      </c>
      <c r="F117" s="9" t="s">
        <v>163</v>
      </c>
      <c r="G117" s="26">
        <v>0.46189723999999999</v>
      </c>
      <c r="H117" s="9"/>
      <c r="I117" s="1">
        <v>59</v>
      </c>
      <c r="J117" s="9" t="s">
        <v>195</v>
      </c>
      <c r="K117" s="22">
        <v>0.29720236</v>
      </c>
      <c r="L117" s="9"/>
      <c r="M117" s="1">
        <v>59</v>
      </c>
      <c r="N117" s="9" t="s">
        <v>168</v>
      </c>
      <c r="O117" s="22">
        <v>0.43039546000000001</v>
      </c>
      <c r="P117" s="9"/>
      <c r="Q117" s="1">
        <v>59</v>
      </c>
      <c r="R117" s="9" t="s">
        <v>157</v>
      </c>
      <c r="S117" s="26">
        <v>0.41034859000000001</v>
      </c>
      <c r="T117" s="9"/>
      <c r="U117" s="1">
        <v>59</v>
      </c>
      <c r="V117" s="9" t="s">
        <v>254</v>
      </c>
      <c r="W117" s="22">
        <v>0.22182257</v>
      </c>
      <c r="X117" s="9"/>
      <c r="Y117" s="1">
        <v>59</v>
      </c>
      <c r="Z117" s="9" t="s">
        <v>107</v>
      </c>
      <c r="AA117" s="22">
        <v>0.53635834000000004</v>
      </c>
      <c r="AB117" s="9"/>
      <c r="AC117" s="1">
        <v>59</v>
      </c>
      <c r="AD117" s="9" t="s">
        <v>256</v>
      </c>
      <c r="AE117" s="35">
        <v>0.18112549999999999</v>
      </c>
      <c r="AF117" s="9"/>
      <c r="AG117" s="1">
        <v>59</v>
      </c>
      <c r="AH117" s="9" t="s">
        <v>107</v>
      </c>
      <c r="AI117" s="22">
        <v>0.51915842000000001</v>
      </c>
    </row>
    <row r="118" spans="1:35" x14ac:dyDescent="0.2">
      <c r="A118" s="1">
        <v>60</v>
      </c>
      <c r="B118" s="9" t="s">
        <v>141</v>
      </c>
      <c r="C118" s="22">
        <v>0.56120296000000003</v>
      </c>
      <c r="D118" s="9"/>
      <c r="E118" s="1">
        <v>60</v>
      </c>
      <c r="F118" s="9" t="s">
        <v>181</v>
      </c>
      <c r="G118" s="26">
        <v>0.46178935999999998</v>
      </c>
      <c r="H118" s="9"/>
      <c r="I118" s="1">
        <v>60</v>
      </c>
      <c r="J118" s="9" t="s">
        <v>135</v>
      </c>
      <c r="K118" s="22">
        <v>0.29634854999999999</v>
      </c>
      <c r="L118" s="9"/>
      <c r="M118" s="1">
        <v>60</v>
      </c>
      <c r="N118" s="9" t="s">
        <v>180</v>
      </c>
      <c r="O118" s="22">
        <v>0.42933995000000003</v>
      </c>
      <c r="P118" s="9"/>
      <c r="Q118" s="1">
        <v>60</v>
      </c>
      <c r="R118" s="9" t="s">
        <v>175</v>
      </c>
      <c r="S118" s="26">
        <v>0.40755288000000001</v>
      </c>
      <c r="T118" s="9"/>
      <c r="U118" s="1">
        <v>60</v>
      </c>
      <c r="V118" s="9" t="s">
        <v>138</v>
      </c>
      <c r="W118" s="22">
        <v>0.22066711999999999</v>
      </c>
      <c r="X118" s="9"/>
      <c r="Y118" s="1">
        <v>60</v>
      </c>
      <c r="Z118" s="9" t="s">
        <v>226</v>
      </c>
      <c r="AA118" s="22">
        <v>0.53532066</v>
      </c>
      <c r="AB118" s="9"/>
      <c r="AC118" s="1">
        <v>60</v>
      </c>
      <c r="AD118" s="9" t="s">
        <v>135</v>
      </c>
      <c r="AE118" s="35">
        <v>0.18057810999999999</v>
      </c>
      <c r="AF118" s="9"/>
      <c r="AG118" s="1">
        <v>60</v>
      </c>
      <c r="AH118" s="9" t="s">
        <v>172</v>
      </c>
      <c r="AI118" s="22">
        <v>0.50891379999999997</v>
      </c>
    </row>
    <row r="119" spans="1:35" x14ac:dyDescent="0.2">
      <c r="A119" s="1">
        <v>61</v>
      </c>
      <c r="B119" s="9" t="s">
        <v>207</v>
      </c>
      <c r="C119" s="22">
        <v>0.55730316999999996</v>
      </c>
      <c r="D119" s="9"/>
      <c r="E119" s="1">
        <v>61</v>
      </c>
      <c r="F119" s="9" t="s">
        <v>213</v>
      </c>
      <c r="G119" s="26">
        <v>0.46158219</v>
      </c>
      <c r="H119" s="9"/>
      <c r="I119" s="1">
        <v>61</v>
      </c>
      <c r="J119" s="9" t="s">
        <v>207</v>
      </c>
      <c r="K119" s="22">
        <v>0.29474673000000001</v>
      </c>
      <c r="L119" s="9"/>
      <c r="M119" s="1">
        <v>61</v>
      </c>
      <c r="N119" s="9" t="s">
        <v>202</v>
      </c>
      <c r="O119" s="22">
        <v>0.42511936</v>
      </c>
      <c r="P119" s="9"/>
      <c r="Q119" s="1">
        <v>61</v>
      </c>
      <c r="R119" s="9" t="s">
        <v>186</v>
      </c>
      <c r="S119" s="26">
        <v>0.40177858999999999</v>
      </c>
      <c r="T119" s="9"/>
      <c r="U119" s="1">
        <v>61</v>
      </c>
      <c r="V119" s="9" t="s">
        <v>181</v>
      </c>
      <c r="W119" s="22">
        <v>0.21387339</v>
      </c>
      <c r="X119" s="9"/>
      <c r="Y119" s="1">
        <v>61</v>
      </c>
      <c r="Z119" s="9" t="s">
        <v>128</v>
      </c>
      <c r="AA119" s="22">
        <v>0.53483687999999996</v>
      </c>
      <c r="AB119" s="9"/>
      <c r="AC119" s="1">
        <v>61</v>
      </c>
      <c r="AD119" s="9" t="s">
        <v>173</v>
      </c>
      <c r="AE119" s="35">
        <v>0.17876054</v>
      </c>
      <c r="AF119" s="9"/>
      <c r="AG119" s="1">
        <v>61</v>
      </c>
      <c r="AH119" s="9" t="s">
        <v>182</v>
      </c>
      <c r="AI119" s="22">
        <v>0.50540768999999997</v>
      </c>
    </row>
    <row r="120" spans="1:35" x14ac:dyDescent="0.2">
      <c r="A120" s="1">
        <v>62</v>
      </c>
      <c r="B120" s="9" t="s">
        <v>252</v>
      </c>
      <c r="C120" s="22">
        <v>0.55270551999999995</v>
      </c>
      <c r="D120" s="9"/>
      <c r="E120" s="1">
        <v>62</v>
      </c>
      <c r="F120" s="9" t="s">
        <v>237</v>
      </c>
      <c r="G120" s="26">
        <v>0.45819083999999999</v>
      </c>
      <c r="H120" s="9"/>
      <c r="I120" s="1">
        <v>62</v>
      </c>
      <c r="J120" s="9" t="s">
        <v>210</v>
      </c>
      <c r="K120" s="22">
        <v>0.29243237999999999</v>
      </c>
      <c r="L120" s="9"/>
      <c r="M120" s="1">
        <v>62</v>
      </c>
      <c r="N120" s="9" t="s">
        <v>176</v>
      </c>
      <c r="O120" s="22">
        <v>0.42171412000000003</v>
      </c>
      <c r="P120" s="9"/>
      <c r="Q120" s="1">
        <v>62</v>
      </c>
      <c r="R120" s="9" t="s">
        <v>291</v>
      </c>
      <c r="S120" s="26">
        <v>0.39774897999999997</v>
      </c>
      <c r="T120" s="9"/>
      <c r="U120" s="1">
        <v>62</v>
      </c>
      <c r="V120" s="9" t="s">
        <v>256</v>
      </c>
      <c r="W120" s="22">
        <v>0.21273383000000001</v>
      </c>
      <c r="X120" s="9"/>
      <c r="Y120" s="1">
        <v>62</v>
      </c>
      <c r="Z120" s="9" t="s">
        <v>192</v>
      </c>
      <c r="AA120" s="22">
        <v>0.52939002000000002</v>
      </c>
      <c r="AB120" s="9"/>
      <c r="AC120" s="1">
        <v>62</v>
      </c>
      <c r="AD120" s="9" t="s">
        <v>172</v>
      </c>
      <c r="AE120" s="35">
        <v>0.1776529</v>
      </c>
      <c r="AF120" s="9"/>
      <c r="AG120" s="1">
        <v>62</v>
      </c>
      <c r="AH120" s="9" t="s">
        <v>168</v>
      </c>
      <c r="AI120" s="22">
        <v>0.50495049999999997</v>
      </c>
    </row>
    <row r="121" spans="1:35" x14ac:dyDescent="0.2">
      <c r="A121" s="1">
        <v>63</v>
      </c>
      <c r="B121" s="9" t="s">
        <v>254</v>
      </c>
      <c r="C121" s="22">
        <v>0.55179758999999995</v>
      </c>
      <c r="D121" s="9"/>
      <c r="E121" s="1">
        <v>63</v>
      </c>
      <c r="F121" s="9" t="s">
        <v>214</v>
      </c>
      <c r="G121" s="26">
        <v>0.45784128000000002</v>
      </c>
      <c r="H121" s="9"/>
      <c r="I121" s="1">
        <v>63</v>
      </c>
      <c r="J121" s="9" t="s">
        <v>238</v>
      </c>
      <c r="K121" s="22">
        <v>0.29222811999999998</v>
      </c>
      <c r="L121" s="9"/>
      <c r="M121" s="1">
        <v>63</v>
      </c>
      <c r="N121" s="9" t="s">
        <v>222</v>
      </c>
      <c r="O121" s="22">
        <v>0.42049611999999997</v>
      </c>
      <c r="P121" s="9"/>
      <c r="Q121" s="1">
        <v>63</v>
      </c>
      <c r="R121" s="9" t="s">
        <v>228</v>
      </c>
      <c r="S121" s="26">
        <v>0.39538026999999998</v>
      </c>
      <c r="T121" s="9"/>
      <c r="U121" s="1">
        <v>63</v>
      </c>
      <c r="V121" s="9" t="s">
        <v>120</v>
      </c>
      <c r="W121" s="22">
        <v>0.2096383</v>
      </c>
      <c r="X121" s="9"/>
      <c r="Y121" s="1">
        <v>63</v>
      </c>
      <c r="Z121" s="9" t="s">
        <v>174</v>
      </c>
      <c r="AA121" s="22">
        <v>0.52520511999999997</v>
      </c>
      <c r="AB121" s="9"/>
      <c r="AC121" s="1">
        <v>63</v>
      </c>
      <c r="AD121" s="15" t="s">
        <v>152</v>
      </c>
      <c r="AE121" s="36">
        <v>0.17658188999999999</v>
      </c>
      <c r="AF121" s="9"/>
      <c r="AG121" s="1">
        <v>63</v>
      </c>
      <c r="AH121" s="9" t="s">
        <v>109</v>
      </c>
      <c r="AI121" s="22">
        <v>0.50261794000000004</v>
      </c>
    </row>
    <row r="122" spans="1:35" x14ac:dyDescent="0.2">
      <c r="A122" s="1">
        <v>64</v>
      </c>
      <c r="B122" s="9" t="s">
        <v>153</v>
      </c>
      <c r="C122" s="22">
        <v>0.55007019000000001</v>
      </c>
      <c r="D122" s="9"/>
      <c r="E122" s="1">
        <v>64</v>
      </c>
      <c r="F122" s="9" t="s">
        <v>144</v>
      </c>
      <c r="G122" s="26">
        <v>0.45566961</v>
      </c>
      <c r="H122" s="9"/>
      <c r="I122" s="1">
        <v>64</v>
      </c>
      <c r="J122" s="9" t="s">
        <v>260</v>
      </c>
      <c r="K122" s="22">
        <v>0.29145096999999998</v>
      </c>
      <c r="L122" s="9"/>
      <c r="M122" s="1">
        <v>64</v>
      </c>
      <c r="N122" s="9" t="s">
        <v>162</v>
      </c>
      <c r="O122" s="22">
        <v>0.41552632</v>
      </c>
      <c r="P122" s="9"/>
      <c r="Q122" s="1">
        <v>64</v>
      </c>
      <c r="R122" s="9" t="s">
        <v>244</v>
      </c>
      <c r="S122" s="26">
        <v>0.39398196000000002</v>
      </c>
      <c r="T122" s="9"/>
      <c r="U122" s="1">
        <v>64</v>
      </c>
      <c r="V122" s="9" t="s">
        <v>217</v>
      </c>
      <c r="W122" s="22">
        <v>0.20745895</v>
      </c>
      <c r="X122" s="9"/>
      <c r="Y122" s="1">
        <v>64</v>
      </c>
      <c r="Z122" s="9" t="s">
        <v>207</v>
      </c>
      <c r="AA122" s="22">
        <v>0.51995111999999999</v>
      </c>
      <c r="AB122" s="9"/>
      <c r="AC122" s="1">
        <v>64</v>
      </c>
      <c r="AD122" s="15" t="s">
        <v>196</v>
      </c>
      <c r="AE122" s="36">
        <v>0.17212537999999999</v>
      </c>
      <c r="AF122" s="9"/>
      <c r="AG122" s="1">
        <v>64</v>
      </c>
      <c r="AH122" s="9" t="s">
        <v>167</v>
      </c>
      <c r="AI122" s="22">
        <v>0.49604251999999999</v>
      </c>
    </row>
    <row r="123" spans="1:35" x14ac:dyDescent="0.2">
      <c r="A123" s="1">
        <v>65</v>
      </c>
      <c r="B123" s="9" t="s">
        <v>293</v>
      </c>
      <c r="C123" s="22">
        <v>0.54860339999999996</v>
      </c>
      <c r="D123" s="9"/>
      <c r="E123" s="1">
        <v>65</v>
      </c>
      <c r="F123" s="9" t="s">
        <v>148</v>
      </c>
      <c r="G123" s="26">
        <v>0.45544633000000001</v>
      </c>
      <c r="H123" s="9"/>
      <c r="I123" s="1">
        <v>65</v>
      </c>
      <c r="J123" s="9" t="s">
        <v>175</v>
      </c>
      <c r="K123" s="22">
        <v>0.29123704</v>
      </c>
      <c r="L123" s="9"/>
      <c r="M123" s="1">
        <v>65</v>
      </c>
      <c r="N123" s="9" t="s">
        <v>266</v>
      </c>
      <c r="O123" s="22">
        <v>0.40981880999999998</v>
      </c>
      <c r="P123" s="9"/>
      <c r="Q123" s="1">
        <v>65</v>
      </c>
      <c r="R123" s="9" t="s">
        <v>133</v>
      </c>
      <c r="S123" s="26">
        <v>0.39309749999999999</v>
      </c>
      <c r="T123" s="9"/>
      <c r="U123" s="1">
        <v>65</v>
      </c>
      <c r="V123" s="9" t="s">
        <v>244</v>
      </c>
      <c r="W123" s="22">
        <v>0.20433852</v>
      </c>
      <c r="X123" s="9"/>
      <c r="Y123" s="1">
        <v>65</v>
      </c>
      <c r="Z123" s="9" t="s">
        <v>198</v>
      </c>
      <c r="AA123" s="22">
        <v>0.50758442999999998</v>
      </c>
      <c r="AB123" s="9"/>
      <c r="AC123" s="1">
        <v>65</v>
      </c>
      <c r="AD123" s="9" t="s">
        <v>240</v>
      </c>
      <c r="AE123" s="35">
        <v>0.16984635000000001</v>
      </c>
      <c r="AF123" s="9"/>
      <c r="AG123" s="1">
        <v>65</v>
      </c>
      <c r="AH123" s="9" t="s">
        <v>250</v>
      </c>
      <c r="AI123" s="22">
        <v>0.49504949999999998</v>
      </c>
    </row>
    <row r="124" spans="1:35" x14ac:dyDescent="0.2">
      <c r="A124" s="1">
        <v>66</v>
      </c>
      <c r="B124" s="9" t="s">
        <v>263</v>
      </c>
      <c r="C124" s="22">
        <v>0.54627457000000001</v>
      </c>
      <c r="D124" s="9"/>
      <c r="E124" s="1">
        <v>66</v>
      </c>
      <c r="F124" s="9" t="s">
        <v>165</v>
      </c>
      <c r="G124" s="26">
        <v>0.44841196</v>
      </c>
      <c r="H124" s="9"/>
      <c r="I124" s="1">
        <v>66</v>
      </c>
      <c r="J124" s="9" t="s">
        <v>216</v>
      </c>
      <c r="K124" s="22">
        <v>0.28786612</v>
      </c>
      <c r="L124" s="9"/>
      <c r="M124" s="1">
        <v>66</v>
      </c>
      <c r="N124" s="9" t="s">
        <v>231</v>
      </c>
      <c r="O124" s="22">
        <v>0.40800977999999999</v>
      </c>
      <c r="P124" s="9"/>
      <c r="Q124" s="1">
        <v>66</v>
      </c>
      <c r="R124" s="9" t="s">
        <v>210</v>
      </c>
      <c r="S124" s="26">
        <v>0.39196874999999998</v>
      </c>
      <c r="T124" s="9"/>
      <c r="U124" s="1">
        <v>66</v>
      </c>
      <c r="V124" s="9" t="s">
        <v>225</v>
      </c>
      <c r="W124" s="22">
        <v>0.19009019999999999</v>
      </c>
      <c r="X124" s="9"/>
      <c r="Y124" s="1">
        <v>66</v>
      </c>
      <c r="Z124" s="9" t="s">
        <v>155</v>
      </c>
      <c r="AA124" s="22">
        <v>0.50753139999999997</v>
      </c>
      <c r="AB124" s="9"/>
      <c r="AC124" s="1">
        <v>66</v>
      </c>
      <c r="AD124" s="9" t="s">
        <v>123</v>
      </c>
      <c r="AE124" s="35">
        <v>0.16753265000000001</v>
      </c>
      <c r="AF124" s="9"/>
      <c r="AG124" s="1">
        <v>66</v>
      </c>
      <c r="AH124" s="9" t="s">
        <v>187</v>
      </c>
      <c r="AI124" s="22">
        <v>0.49009901</v>
      </c>
    </row>
    <row r="125" spans="1:35" x14ac:dyDescent="0.2">
      <c r="A125" s="1">
        <v>67</v>
      </c>
      <c r="B125" s="9" t="s">
        <v>216</v>
      </c>
      <c r="C125" s="22">
        <v>0.54226748000000002</v>
      </c>
      <c r="D125" s="9"/>
      <c r="E125" s="1">
        <v>67</v>
      </c>
      <c r="F125" s="9" t="s">
        <v>204</v>
      </c>
      <c r="G125" s="26">
        <v>0.44552288000000001</v>
      </c>
      <c r="H125" s="9"/>
      <c r="I125" s="1">
        <v>67</v>
      </c>
      <c r="J125" s="9" t="s">
        <v>198</v>
      </c>
      <c r="K125" s="22">
        <v>0.28211058</v>
      </c>
      <c r="L125" s="9"/>
      <c r="M125" s="1">
        <v>67</v>
      </c>
      <c r="N125" s="9" t="s">
        <v>234</v>
      </c>
      <c r="O125" s="22">
        <v>0.40792781</v>
      </c>
      <c r="P125" s="9"/>
      <c r="Q125" s="1">
        <v>67</v>
      </c>
      <c r="R125" s="9" t="s">
        <v>270</v>
      </c>
      <c r="S125" s="26">
        <v>0.38679396999999999</v>
      </c>
      <c r="T125" s="9"/>
      <c r="U125" s="1">
        <v>67</v>
      </c>
      <c r="V125" s="15" t="s">
        <v>177</v>
      </c>
      <c r="W125" s="23">
        <v>0.18826227000000001</v>
      </c>
      <c r="X125" s="9"/>
      <c r="Y125" s="1">
        <v>67</v>
      </c>
      <c r="Z125" s="9" t="s">
        <v>163</v>
      </c>
      <c r="AA125" s="22">
        <v>0.49784398000000002</v>
      </c>
      <c r="AB125" s="9"/>
      <c r="AC125" s="1">
        <v>67</v>
      </c>
      <c r="AD125" s="9" t="s">
        <v>125</v>
      </c>
      <c r="AE125" s="35">
        <v>0.16667836</v>
      </c>
      <c r="AF125" s="9"/>
      <c r="AG125" s="1">
        <v>67</v>
      </c>
      <c r="AH125" s="9" t="s">
        <v>220</v>
      </c>
      <c r="AI125" s="22">
        <v>0.48995340999999998</v>
      </c>
    </row>
    <row r="126" spans="1:35" x14ac:dyDescent="0.2">
      <c r="A126" s="1">
        <v>68</v>
      </c>
      <c r="B126" s="9" t="s">
        <v>262</v>
      </c>
      <c r="C126" s="22">
        <v>0.54216008000000004</v>
      </c>
      <c r="D126" s="9"/>
      <c r="E126" s="1">
        <v>68</v>
      </c>
      <c r="F126" s="9" t="s">
        <v>133</v>
      </c>
      <c r="G126" s="26">
        <v>0.44467444</v>
      </c>
      <c r="H126" s="9"/>
      <c r="I126" s="1">
        <v>68</v>
      </c>
      <c r="J126" s="9" t="s">
        <v>231</v>
      </c>
      <c r="K126" s="22">
        <v>0.27824963000000003</v>
      </c>
      <c r="L126" s="9"/>
      <c r="M126" s="1">
        <v>68</v>
      </c>
      <c r="N126" s="9" t="s">
        <v>239</v>
      </c>
      <c r="O126" s="22">
        <v>0.40311332</v>
      </c>
      <c r="P126" s="9"/>
      <c r="Q126" s="1">
        <v>68</v>
      </c>
      <c r="R126" s="9" t="s">
        <v>160</v>
      </c>
      <c r="S126" s="26">
        <v>0.38657382000000001</v>
      </c>
      <c r="T126" s="9"/>
      <c r="U126" s="1">
        <v>68</v>
      </c>
      <c r="V126" s="15" t="s">
        <v>158</v>
      </c>
      <c r="W126" s="23">
        <v>0.17426530000000001</v>
      </c>
      <c r="X126" s="9"/>
      <c r="Y126" s="1">
        <v>68</v>
      </c>
      <c r="Z126" s="9" t="s">
        <v>292</v>
      </c>
      <c r="AA126" s="22">
        <v>0.49451218000000002</v>
      </c>
      <c r="AB126" s="9"/>
      <c r="AC126" s="1">
        <v>68</v>
      </c>
      <c r="AD126" s="9" t="s">
        <v>237</v>
      </c>
      <c r="AE126" s="35">
        <v>0.16444470999999999</v>
      </c>
      <c r="AF126" s="9"/>
      <c r="AG126" s="1">
        <v>68</v>
      </c>
      <c r="AH126" s="9" t="s">
        <v>150</v>
      </c>
      <c r="AI126" s="22">
        <v>0.48019802</v>
      </c>
    </row>
    <row r="127" spans="1:35" x14ac:dyDescent="0.2">
      <c r="A127" s="1">
        <v>69</v>
      </c>
      <c r="B127" s="9" t="s">
        <v>268</v>
      </c>
      <c r="C127" s="22">
        <v>0.41711023000000003</v>
      </c>
      <c r="D127" s="9"/>
      <c r="E127" s="1">
        <v>69</v>
      </c>
      <c r="F127" s="9" t="s">
        <v>155</v>
      </c>
      <c r="G127" s="26">
        <v>0.44206169000000001</v>
      </c>
      <c r="H127" s="9"/>
      <c r="I127" s="1">
        <v>69</v>
      </c>
      <c r="J127" s="15" t="s">
        <v>228</v>
      </c>
      <c r="K127" s="23">
        <v>0.27423363000000001</v>
      </c>
      <c r="L127" s="9"/>
      <c r="M127" s="1">
        <v>69</v>
      </c>
      <c r="N127" s="9" t="s">
        <v>185</v>
      </c>
      <c r="O127" s="22">
        <v>0.40206355999999999</v>
      </c>
      <c r="P127" s="9"/>
      <c r="Q127" s="1">
        <v>69</v>
      </c>
      <c r="R127" s="9" t="s">
        <v>183</v>
      </c>
      <c r="S127" s="26">
        <v>0.38442525999999999</v>
      </c>
      <c r="T127" s="9"/>
      <c r="U127" s="1">
        <v>69</v>
      </c>
      <c r="V127" s="9" t="s">
        <v>125</v>
      </c>
      <c r="W127" s="22">
        <v>0.17381113000000001</v>
      </c>
      <c r="X127" s="9"/>
      <c r="Y127" s="1">
        <v>69</v>
      </c>
      <c r="Z127" s="9" t="s">
        <v>161</v>
      </c>
      <c r="AA127" s="22">
        <v>0.47930938000000001</v>
      </c>
      <c r="AB127" s="9"/>
      <c r="AC127" s="1">
        <v>69</v>
      </c>
      <c r="AD127" s="9" t="s">
        <v>263</v>
      </c>
      <c r="AE127" s="35">
        <v>0.1604594</v>
      </c>
      <c r="AF127" s="9"/>
      <c r="AG127" s="1">
        <v>69</v>
      </c>
      <c r="AH127" s="9" t="s">
        <v>157</v>
      </c>
      <c r="AI127" s="22">
        <v>0.47078043000000003</v>
      </c>
    </row>
    <row r="128" spans="1:35" x14ac:dyDescent="0.2">
      <c r="A128" s="1">
        <v>70</v>
      </c>
      <c r="B128" s="9" t="s">
        <v>229</v>
      </c>
      <c r="C128" s="22">
        <v>0.53891606999999997</v>
      </c>
      <c r="D128" s="9"/>
      <c r="E128" s="1">
        <v>70</v>
      </c>
      <c r="F128" s="9" t="s">
        <v>137</v>
      </c>
      <c r="G128" s="26">
        <v>0.44177709999999998</v>
      </c>
      <c r="H128" s="9"/>
      <c r="I128" s="1">
        <v>70</v>
      </c>
      <c r="J128" s="15" t="s">
        <v>192</v>
      </c>
      <c r="K128" s="23">
        <v>0.27278942</v>
      </c>
      <c r="L128" s="9"/>
      <c r="M128" s="1">
        <v>70</v>
      </c>
      <c r="N128" s="9" t="s">
        <v>186</v>
      </c>
      <c r="O128" s="22">
        <v>0.39924504</v>
      </c>
      <c r="P128" s="9"/>
      <c r="Q128" s="1">
        <v>70</v>
      </c>
      <c r="R128" s="9" t="s">
        <v>139</v>
      </c>
      <c r="S128" s="26">
        <v>0.37946763999999999</v>
      </c>
      <c r="T128" s="9"/>
      <c r="U128" s="1">
        <v>70</v>
      </c>
      <c r="V128" s="9" t="s">
        <v>188</v>
      </c>
      <c r="W128" s="22">
        <v>0.148534</v>
      </c>
      <c r="X128" s="9"/>
      <c r="Y128" s="1">
        <v>70</v>
      </c>
      <c r="Z128" s="9" t="s">
        <v>178</v>
      </c>
      <c r="AA128" s="22">
        <v>0.47764222000000001</v>
      </c>
      <c r="AB128" s="9"/>
      <c r="AC128" s="1">
        <v>70</v>
      </c>
      <c r="AD128" s="9" t="s">
        <v>192</v>
      </c>
      <c r="AE128" s="35">
        <v>0.15791400999999999</v>
      </c>
      <c r="AF128" s="9"/>
      <c r="AG128" s="1">
        <v>70</v>
      </c>
      <c r="AH128" s="9" t="s">
        <v>186</v>
      </c>
      <c r="AI128" s="22">
        <v>0.47029703</v>
      </c>
    </row>
    <row r="129" spans="1:35" x14ac:dyDescent="0.2">
      <c r="A129" s="1">
        <v>71</v>
      </c>
      <c r="B129" s="9" t="s">
        <v>203</v>
      </c>
      <c r="C129" s="22">
        <v>0.53849320000000001</v>
      </c>
      <c r="D129" s="9"/>
      <c r="E129" s="1">
        <v>71</v>
      </c>
      <c r="F129" s="9" t="s">
        <v>180</v>
      </c>
      <c r="G129" s="26">
        <v>0.43958214000000001</v>
      </c>
      <c r="H129" s="9"/>
      <c r="I129" s="1">
        <v>71</v>
      </c>
      <c r="J129" s="9" t="s">
        <v>162</v>
      </c>
      <c r="K129" s="22">
        <v>0.26782634</v>
      </c>
      <c r="L129" s="9"/>
      <c r="M129" s="1">
        <v>71</v>
      </c>
      <c r="N129" s="9" t="s">
        <v>171</v>
      </c>
      <c r="O129" s="22">
        <v>0.39460023</v>
      </c>
      <c r="P129" s="9"/>
      <c r="Q129" s="1">
        <v>71</v>
      </c>
      <c r="R129" s="9" t="s">
        <v>190</v>
      </c>
      <c r="S129" s="26">
        <v>0.37872599000000001</v>
      </c>
      <c r="T129" s="9"/>
      <c r="U129" s="1">
        <v>71</v>
      </c>
      <c r="V129" s="9" t="s">
        <v>262</v>
      </c>
      <c r="W129" s="22">
        <v>0.14675279999999999</v>
      </c>
      <c r="X129" s="9"/>
      <c r="Y129" s="1">
        <v>71</v>
      </c>
      <c r="Z129" s="9" t="s">
        <v>156</v>
      </c>
      <c r="AA129" s="22">
        <v>0.47162074999999998</v>
      </c>
      <c r="AB129" s="9"/>
      <c r="AC129" s="1">
        <v>71</v>
      </c>
      <c r="AD129" s="9" t="s">
        <v>289</v>
      </c>
      <c r="AE129" s="35">
        <v>0.15274018</v>
      </c>
      <c r="AF129" s="9"/>
      <c r="AG129" s="1">
        <v>71</v>
      </c>
      <c r="AH129" s="9" t="s">
        <v>141</v>
      </c>
      <c r="AI129" s="22">
        <v>0.46517181000000002</v>
      </c>
    </row>
    <row r="130" spans="1:35" x14ac:dyDescent="0.2">
      <c r="A130" s="1">
        <v>72</v>
      </c>
      <c r="B130" s="9" t="s">
        <v>211</v>
      </c>
      <c r="C130" s="22">
        <v>0.53574480999999996</v>
      </c>
      <c r="D130" s="9"/>
      <c r="E130" s="1">
        <v>72</v>
      </c>
      <c r="F130" s="9" t="s">
        <v>150</v>
      </c>
      <c r="G130" s="26">
        <v>0.43699505999999999</v>
      </c>
      <c r="H130" s="9"/>
      <c r="I130" s="1">
        <v>72</v>
      </c>
      <c r="J130" s="9" t="s">
        <v>145</v>
      </c>
      <c r="K130" s="22">
        <v>0.26389442000000002</v>
      </c>
      <c r="L130" s="9"/>
      <c r="M130" s="1">
        <v>72</v>
      </c>
      <c r="N130" s="15" t="s">
        <v>175</v>
      </c>
      <c r="O130" s="23">
        <v>0.39447081000000001</v>
      </c>
      <c r="P130" s="9"/>
      <c r="Q130" s="1">
        <v>72</v>
      </c>
      <c r="R130" s="9" t="s">
        <v>145</v>
      </c>
      <c r="S130" s="26">
        <v>0.37311424999999998</v>
      </c>
      <c r="T130" s="9"/>
      <c r="U130" s="1">
        <v>72</v>
      </c>
      <c r="V130" s="9" t="s">
        <v>175</v>
      </c>
      <c r="W130" s="22">
        <v>0.14247475000000001</v>
      </c>
      <c r="X130" s="9"/>
      <c r="Y130" s="1">
        <v>72</v>
      </c>
      <c r="Z130" s="9" t="s">
        <v>261</v>
      </c>
      <c r="AA130" s="22">
        <v>0.46953552999999998</v>
      </c>
      <c r="AB130" s="9"/>
      <c r="AC130" s="1">
        <v>72</v>
      </c>
      <c r="AD130" s="9" t="s">
        <v>211</v>
      </c>
      <c r="AE130" s="35">
        <v>0.15244740000000001</v>
      </c>
      <c r="AF130" s="9"/>
      <c r="AG130" s="1">
        <v>72</v>
      </c>
      <c r="AH130" s="9" t="s">
        <v>205</v>
      </c>
      <c r="AI130" s="22">
        <v>0.45652591999999997</v>
      </c>
    </row>
    <row r="131" spans="1:35" x14ac:dyDescent="0.2">
      <c r="A131" s="1">
        <v>73</v>
      </c>
      <c r="B131" s="9" t="s">
        <v>168</v>
      </c>
      <c r="C131" s="22">
        <v>0.53091109999999997</v>
      </c>
      <c r="D131" s="9"/>
      <c r="E131" s="1">
        <v>73</v>
      </c>
      <c r="F131" s="9" t="s">
        <v>227</v>
      </c>
      <c r="G131" s="26">
        <v>0.43022829000000001</v>
      </c>
      <c r="H131" s="9"/>
      <c r="I131" s="1">
        <v>73</v>
      </c>
      <c r="J131" s="9" t="s">
        <v>183</v>
      </c>
      <c r="K131" s="22">
        <v>0.26107514999999998</v>
      </c>
      <c r="L131" s="9"/>
      <c r="M131" s="1">
        <v>73</v>
      </c>
      <c r="N131" s="15" t="s">
        <v>107</v>
      </c>
      <c r="O131" s="23">
        <v>0.39028329</v>
      </c>
      <c r="P131" s="9"/>
      <c r="Q131" s="1">
        <v>73</v>
      </c>
      <c r="R131" s="9" t="s">
        <v>161</v>
      </c>
      <c r="S131" s="26">
        <v>0.36698702</v>
      </c>
      <c r="T131" s="9"/>
      <c r="U131" s="1">
        <v>73</v>
      </c>
      <c r="V131" s="9" t="s">
        <v>258</v>
      </c>
      <c r="W131" s="22">
        <v>0.14219034999999999</v>
      </c>
      <c r="X131" s="9"/>
      <c r="Y131" s="1">
        <v>73</v>
      </c>
      <c r="Z131" s="9" t="s">
        <v>172</v>
      </c>
      <c r="AA131" s="22">
        <v>0.46678522</v>
      </c>
      <c r="AB131" s="9"/>
      <c r="AC131" s="1">
        <v>73</v>
      </c>
      <c r="AD131" s="9" t="s">
        <v>161</v>
      </c>
      <c r="AE131" s="35">
        <v>0.15143691000000001</v>
      </c>
      <c r="AF131" s="9"/>
      <c r="AG131" s="1">
        <v>73</v>
      </c>
      <c r="AH131" s="9" t="s">
        <v>256</v>
      </c>
      <c r="AI131" s="22">
        <v>0.4490827</v>
      </c>
    </row>
    <row r="132" spans="1:35" x14ac:dyDescent="0.2">
      <c r="A132" s="1">
        <v>74</v>
      </c>
      <c r="B132" s="9" t="s">
        <v>264</v>
      </c>
      <c r="C132" s="22">
        <v>0.52477024000000005</v>
      </c>
      <c r="D132" s="9"/>
      <c r="E132" s="1">
        <v>74</v>
      </c>
      <c r="F132" s="9" t="s">
        <v>233</v>
      </c>
      <c r="G132" s="26">
        <v>0.42970629999999999</v>
      </c>
      <c r="H132" s="9"/>
      <c r="I132" s="1">
        <v>74</v>
      </c>
      <c r="J132" s="9" t="s">
        <v>293</v>
      </c>
      <c r="K132" s="22">
        <v>0.26028479999999998</v>
      </c>
      <c r="L132" s="9"/>
      <c r="M132" s="1">
        <v>74</v>
      </c>
      <c r="N132" s="9" t="s">
        <v>242</v>
      </c>
      <c r="O132" s="22">
        <v>0.38659476999999998</v>
      </c>
      <c r="P132" s="9"/>
      <c r="Q132" s="1">
        <v>74</v>
      </c>
      <c r="R132" s="9" t="s">
        <v>188</v>
      </c>
      <c r="S132" s="26">
        <v>0.36671361000000002</v>
      </c>
      <c r="T132" s="9"/>
      <c r="U132" s="1">
        <v>74</v>
      </c>
      <c r="V132" s="9" t="s">
        <v>220</v>
      </c>
      <c r="W132" s="22">
        <v>0.14198783000000001</v>
      </c>
      <c r="X132" s="9"/>
      <c r="Y132" s="1">
        <v>74</v>
      </c>
      <c r="Z132" s="9" t="s">
        <v>234</v>
      </c>
      <c r="AA132" s="22">
        <v>0.46672983000000001</v>
      </c>
      <c r="AB132" s="9"/>
      <c r="AC132" s="1">
        <v>74</v>
      </c>
      <c r="AD132" s="9" t="s">
        <v>233</v>
      </c>
      <c r="AE132" s="35">
        <v>0.15037185</v>
      </c>
      <c r="AF132" s="9"/>
      <c r="AG132" s="1">
        <v>74</v>
      </c>
      <c r="AH132" s="9" t="s">
        <v>224</v>
      </c>
      <c r="AI132" s="22">
        <v>0.43777228000000001</v>
      </c>
    </row>
    <row r="133" spans="1:35" x14ac:dyDescent="0.2">
      <c r="A133" s="1">
        <v>75</v>
      </c>
      <c r="B133" s="9" t="s">
        <v>294</v>
      </c>
      <c r="C133" s="22">
        <v>0.52241985000000002</v>
      </c>
      <c r="D133" s="9"/>
      <c r="E133" s="1">
        <v>75</v>
      </c>
      <c r="F133" s="9" t="s">
        <v>185</v>
      </c>
      <c r="G133" s="26">
        <v>0.42966267000000002</v>
      </c>
      <c r="H133" s="9"/>
      <c r="I133" s="1">
        <v>75</v>
      </c>
      <c r="J133" s="9" t="s">
        <v>240</v>
      </c>
      <c r="K133" s="22">
        <v>0.25436639</v>
      </c>
      <c r="L133" s="9"/>
      <c r="M133" s="1">
        <v>75</v>
      </c>
      <c r="N133" s="9" t="s">
        <v>238</v>
      </c>
      <c r="O133" s="22">
        <v>0.38642938999999998</v>
      </c>
      <c r="P133" s="9"/>
      <c r="Q133" s="1">
        <v>75</v>
      </c>
      <c r="R133" s="9" t="s">
        <v>138</v>
      </c>
      <c r="S133" s="26">
        <v>0.36449869000000001</v>
      </c>
      <c r="T133" s="9"/>
      <c r="U133" s="1">
        <v>75</v>
      </c>
      <c r="V133" s="9" t="s">
        <v>268</v>
      </c>
      <c r="W133" s="22">
        <v>0.13821575999999999</v>
      </c>
      <c r="X133" s="9"/>
      <c r="Y133" s="1">
        <v>75</v>
      </c>
      <c r="Z133" s="15" t="s">
        <v>244</v>
      </c>
      <c r="AA133" s="23">
        <v>0.46642281000000002</v>
      </c>
      <c r="AB133" s="9"/>
      <c r="AC133" s="1">
        <v>75</v>
      </c>
      <c r="AD133" s="9" t="s">
        <v>168</v>
      </c>
      <c r="AE133" s="35">
        <v>0.149733</v>
      </c>
      <c r="AF133" s="9"/>
      <c r="AG133" s="1">
        <v>75</v>
      </c>
      <c r="AH133" s="15" t="s">
        <v>264</v>
      </c>
      <c r="AI133" s="23">
        <v>0.43564355999999999</v>
      </c>
    </row>
    <row r="134" spans="1:35" x14ac:dyDescent="0.2">
      <c r="A134" s="1">
        <v>76</v>
      </c>
      <c r="B134" s="9" t="s">
        <v>228</v>
      </c>
      <c r="C134" s="22">
        <v>0.51262459000000005</v>
      </c>
      <c r="D134" s="9"/>
      <c r="E134" s="1">
        <v>76</v>
      </c>
      <c r="F134" s="9" t="s">
        <v>179</v>
      </c>
      <c r="G134" s="26">
        <v>0.42954028</v>
      </c>
      <c r="H134" s="9"/>
      <c r="I134" s="1">
        <v>76</v>
      </c>
      <c r="J134" s="9" t="s">
        <v>191</v>
      </c>
      <c r="K134" s="22">
        <v>0.25248342000000001</v>
      </c>
      <c r="L134" s="9"/>
      <c r="M134" s="1">
        <v>76</v>
      </c>
      <c r="N134" s="9" t="s">
        <v>141</v>
      </c>
      <c r="O134" s="22">
        <v>0.38300689999999998</v>
      </c>
      <c r="P134" s="9"/>
      <c r="Q134" s="1">
        <v>76</v>
      </c>
      <c r="R134" s="15" t="s">
        <v>200</v>
      </c>
      <c r="S134" s="27">
        <v>0.36406980999999999</v>
      </c>
      <c r="T134" s="9"/>
      <c r="U134" s="1">
        <v>76</v>
      </c>
      <c r="V134" s="9" t="s">
        <v>187</v>
      </c>
      <c r="W134" s="22">
        <v>0.12570413</v>
      </c>
      <c r="X134" s="9"/>
      <c r="Y134" s="1">
        <v>76</v>
      </c>
      <c r="Z134" s="15" t="s">
        <v>236</v>
      </c>
      <c r="AA134" s="23">
        <v>0.46402483</v>
      </c>
      <c r="AB134" s="9"/>
      <c r="AC134" s="1">
        <v>76</v>
      </c>
      <c r="AD134" s="9" t="s">
        <v>217</v>
      </c>
      <c r="AE134" s="35">
        <v>0.14919357999999999</v>
      </c>
      <c r="AF134" s="9"/>
      <c r="AG134" s="1">
        <v>76</v>
      </c>
      <c r="AH134" s="15" t="s">
        <v>171</v>
      </c>
      <c r="AI134" s="23">
        <v>0.41954280999999999</v>
      </c>
    </row>
    <row r="135" spans="1:35" x14ac:dyDescent="0.2">
      <c r="A135" s="1">
        <v>77</v>
      </c>
      <c r="B135" s="9" t="s">
        <v>133</v>
      </c>
      <c r="C135" s="22">
        <v>0.50992866999999997</v>
      </c>
      <c r="D135" s="9"/>
      <c r="E135" s="1">
        <v>77</v>
      </c>
      <c r="F135" s="9" t="s">
        <v>224</v>
      </c>
      <c r="G135" s="26">
        <v>0.42684252</v>
      </c>
      <c r="H135" s="9"/>
      <c r="I135" s="1">
        <v>77</v>
      </c>
      <c r="J135" s="9" t="s">
        <v>155</v>
      </c>
      <c r="K135" s="22">
        <v>0.25102466000000001</v>
      </c>
      <c r="L135" s="9"/>
      <c r="M135" s="1">
        <v>77</v>
      </c>
      <c r="N135" s="9" t="s">
        <v>140</v>
      </c>
      <c r="O135" s="22">
        <v>0.38297094999999998</v>
      </c>
      <c r="P135" s="9"/>
      <c r="Q135" s="1">
        <v>77</v>
      </c>
      <c r="R135" s="15" t="s">
        <v>290</v>
      </c>
      <c r="S135" s="27">
        <v>0.35617309000000003</v>
      </c>
      <c r="T135" s="9"/>
      <c r="U135" s="1">
        <v>77</v>
      </c>
      <c r="V135" s="9" t="s">
        <v>240</v>
      </c>
      <c r="W135" s="22">
        <v>0.12114169</v>
      </c>
      <c r="X135" s="9"/>
      <c r="Y135" s="1">
        <v>77</v>
      </c>
      <c r="Z135" s="9" t="s">
        <v>135</v>
      </c>
      <c r="AA135" s="22">
        <v>0.4538044</v>
      </c>
      <c r="AB135" s="9"/>
      <c r="AC135" s="1">
        <v>77</v>
      </c>
      <c r="AD135" s="9" t="s">
        <v>107</v>
      </c>
      <c r="AE135" s="35">
        <v>0.14812096</v>
      </c>
      <c r="AF135" s="9"/>
      <c r="AG135" s="1">
        <v>77</v>
      </c>
      <c r="AH135" s="9" t="s">
        <v>177</v>
      </c>
      <c r="AI135" s="22">
        <v>0.41584157999999999</v>
      </c>
    </row>
    <row r="136" spans="1:35" x14ac:dyDescent="0.2">
      <c r="A136" s="1">
        <v>78</v>
      </c>
      <c r="B136" s="15" t="s">
        <v>147</v>
      </c>
      <c r="C136" s="23">
        <v>0.50925244999999997</v>
      </c>
      <c r="D136" s="9"/>
      <c r="E136" s="1">
        <v>78</v>
      </c>
      <c r="F136" s="9" t="s">
        <v>261</v>
      </c>
      <c r="G136" s="26">
        <v>0.42120191000000001</v>
      </c>
      <c r="H136" s="9"/>
      <c r="I136" s="1">
        <v>78</v>
      </c>
      <c r="J136" s="9" t="s">
        <v>252</v>
      </c>
      <c r="K136" s="22">
        <v>0.25075473999999998</v>
      </c>
      <c r="L136" s="9"/>
      <c r="M136" s="1">
        <v>78</v>
      </c>
      <c r="N136" s="9" t="s">
        <v>196</v>
      </c>
      <c r="O136" s="22">
        <v>0.37819960000000002</v>
      </c>
      <c r="P136" s="9"/>
      <c r="Q136" s="1">
        <v>78</v>
      </c>
      <c r="R136" s="9" t="s">
        <v>231</v>
      </c>
      <c r="S136" s="26">
        <v>0.35501493000000001</v>
      </c>
      <c r="T136" s="9"/>
      <c r="U136" s="1">
        <v>78</v>
      </c>
      <c r="V136" s="9" t="s">
        <v>201</v>
      </c>
      <c r="W136" s="22">
        <v>0.12114169</v>
      </c>
      <c r="X136" s="9"/>
      <c r="Y136" s="1">
        <v>78</v>
      </c>
      <c r="Z136" s="9" t="s">
        <v>199</v>
      </c>
      <c r="AA136" s="22">
        <v>0.45371286</v>
      </c>
      <c r="AB136" s="9"/>
      <c r="AC136" s="1">
        <v>78</v>
      </c>
      <c r="AD136" s="9" t="s">
        <v>171</v>
      </c>
      <c r="AE136" s="35">
        <v>0.14600730000000001</v>
      </c>
      <c r="AF136" s="9"/>
      <c r="AG136" s="1">
        <v>78</v>
      </c>
      <c r="AH136" s="9" t="s">
        <v>240</v>
      </c>
      <c r="AI136" s="22">
        <v>0.40594058999999999</v>
      </c>
    </row>
    <row r="137" spans="1:35" x14ac:dyDescent="0.2">
      <c r="A137" s="1">
        <v>79</v>
      </c>
      <c r="B137" s="15" t="s">
        <v>195</v>
      </c>
      <c r="C137" s="23">
        <v>0.50318741</v>
      </c>
      <c r="D137" s="9"/>
      <c r="E137" s="1">
        <v>79</v>
      </c>
      <c r="F137" s="9" t="s">
        <v>225</v>
      </c>
      <c r="G137" s="26">
        <v>0.41897062000000002</v>
      </c>
      <c r="H137" s="9"/>
      <c r="I137" s="1">
        <v>79</v>
      </c>
      <c r="J137" s="9" t="s">
        <v>148</v>
      </c>
      <c r="K137" s="22">
        <v>0.24659993999999999</v>
      </c>
      <c r="L137" s="9"/>
      <c r="M137" s="1">
        <v>79</v>
      </c>
      <c r="N137" s="9" t="s">
        <v>228</v>
      </c>
      <c r="O137" s="22">
        <v>0.37789905000000001</v>
      </c>
      <c r="P137" s="9"/>
      <c r="Q137" s="1">
        <v>79</v>
      </c>
      <c r="R137" s="9" t="s">
        <v>130</v>
      </c>
      <c r="S137" s="26">
        <v>0.35411630999999999</v>
      </c>
      <c r="T137" s="9"/>
      <c r="U137" s="1">
        <v>79</v>
      </c>
      <c r="V137" s="9" t="s">
        <v>250</v>
      </c>
      <c r="W137" s="22">
        <v>0.10465547</v>
      </c>
      <c r="X137" s="9"/>
      <c r="Y137" s="1">
        <v>79</v>
      </c>
      <c r="Z137" s="9" t="s">
        <v>150</v>
      </c>
      <c r="AA137" s="22">
        <v>0.45085681</v>
      </c>
      <c r="AB137" s="9"/>
      <c r="AC137" s="1">
        <v>79</v>
      </c>
      <c r="AD137" s="9" t="s">
        <v>128</v>
      </c>
      <c r="AE137" s="35">
        <v>0.14556785</v>
      </c>
      <c r="AF137" s="9"/>
      <c r="AG137" s="1">
        <v>79</v>
      </c>
      <c r="AH137" s="9" t="s">
        <v>244</v>
      </c>
      <c r="AI137" s="22">
        <v>0.40182295000000001</v>
      </c>
    </row>
    <row r="138" spans="1:35" x14ac:dyDescent="0.2">
      <c r="A138" s="1">
        <v>80</v>
      </c>
      <c r="B138" s="9" t="s">
        <v>173</v>
      </c>
      <c r="C138" s="22">
        <v>0.50291525999999998</v>
      </c>
      <c r="D138" s="9"/>
      <c r="E138" s="1">
        <v>80</v>
      </c>
      <c r="F138" s="9" t="s">
        <v>175</v>
      </c>
      <c r="G138" s="26">
        <v>0.41223356</v>
      </c>
      <c r="H138" s="9"/>
      <c r="I138" s="1">
        <v>80</v>
      </c>
      <c r="J138" s="9" t="s">
        <v>291</v>
      </c>
      <c r="K138" s="22">
        <v>0.24187495000000001</v>
      </c>
      <c r="L138" s="9"/>
      <c r="M138" s="1">
        <v>80</v>
      </c>
      <c r="N138" s="9" t="s">
        <v>240</v>
      </c>
      <c r="O138" s="22">
        <v>0.37682052999999999</v>
      </c>
      <c r="P138" s="9"/>
      <c r="Q138" s="1">
        <v>80</v>
      </c>
      <c r="R138" s="9" t="s">
        <v>295</v>
      </c>
      <c r="S138" s="26">
        <v>0.35357068000000003</v>
      </c>
      <c r="T138" s="9"/>
      <c r="U138" s="1">
        <v>80</v>
      </c>
      <c r="V138" s="9" t="s">
        <v>182</v>
      </c>
      <c r="W138" s="22">
        <v>9.7748580000000002E-2</v>
      </c>
      <c r="X138" s="9"/>
      <c r="Y138" s="1">
        <v>80</v>
      </c>
      <c r="Z138" s="9" t="s">
        <v>180</v>
      </c>
      <c r="AA138" s="22">
        <v>0.44402794000000001</v>
      </c>
      <c r="AB138" s="9"/>
      <c r="AC138" s="1">
        <v>80</v>
      </c>
      <c r="AD138" s="9" t="s">
        <v>177</v>
      </c>
      <c r="AE138" s="35">
        <v>0.14448966999999999</v>
      </c>
      <c r="AF138" s="9"/>
      <c r="AG138" s="1">
        <v>80</v>
      </c>
      <c r="AH138" s="9" t="s">
        <v>261</v>
      </c>
      <c r="AI138" s="22">
        <v>0.39603959999999999</v>
      </c>
    </row>
    <row r="139" spans="1:35" x14ac:dyDescent="0.2">
      <c r="A139" s="1">
        <v>81</v>
      </c>
      <c r="B139" s="9" t="s">
        <v>238</v>
      </c>
      <c r="C139" s="22">
        <v>0.49973917000000001</v>
      </c>
      <c r="D139" s="9"/>
      <c r="E139" s="1">
        <v>81</v>
      </c>
      <c r="F139" s="9" t="s">
        <v>228</v>
      </c>
      <c r="G139" s="26">
        <v>0.41154295000000002</v>
      </c>
      <c r="H139" s="9"/>
      <c r="I139" s="1">
        <v>81</v>
      </c>
      <c r="J139" s="9" t="s">
        <v>142</v>
      </c>
      <c r="K139" s="22">
        <v>0.2270384</v>
      </c>
      <c r="L139" s="9"/>
      <c r="M139" s="1">
        <v>81</v>
      </c>
      <c r="N139" s="9" t="s">
        <v>261</v>
      </c>
      <c r="O139" s="22">
        <v>0.37548029999999999</v>
      </c>
      <c r="P139" s="9"/>
      <c r="Q139" s="1">
        <v>81</v>
      </c>
      <c r="R139" s="9" t="s">
        <v>202</v>
      </c>
      <c r="S139" s="26">
        <v>0.35181287</v>
      </c>
      <c r="T139" s="9"/>
      <c r="U139" s="1">
        <v>81</v>
      </c>
      <c r="V139" s="9" t="s">
        <v>211</v>
      </c>
      <c r="W139" s="22">
        <v>9.670629E-2</v>
      </c>
      <c r="X139" s="9"/>
      <c r="Y139" s="1">
        <v>81</v>
      </c>
      <c r="Z139" s="9" t="s">
        <v>258</v>
      </c>
      <c r="AA139" s="22">
        <v>0.44367551</v>
      </c>
      <c r="AB139" s="9"/>
      <c r="AC139" s="1">
        <v>81</v>
      </c>
      <c r="AD139" s="9" t="s">
        <v>186</v>
      </c>
      <c r="AE139" s="35">
        <v>0.14428553999999999</v>
      </c>
      <c r="AF139" s="9"/>
      <c r="AG139" s="1">
        <v>81</v>
      </c>
      <c r="AH139" s="9" t="s">
        <v>185</v>
      </c>
      <c r="AI139" s="22">
        <v>0.38403320000000002</v>
      </c>
    </row>
    <row r="140" spans="1:35" x14ac:dyDescent="0.2">
      <c r="A140" s="1">
        <v>82</v>
      </c>
      <c r="B140" s="9" t="s">
        <v>226</v>
      </c>
      <c r="C140" s="22">
        <v>0.49169327000000002</v>
      </c>
      <c r="D140" s="9"/>
      <c r="E140" s="1">
        <v>82</v>
      </c>
      <c r="F140" s="9" t="s">
        <v>198</v>
      </c>
      <c r="G140" s="26">
        <v>0.40832062000000002</v>
      </c>
      <c r="H140" s="9"/>
      <c r="I140" s="1">
        <v>82</v>
      </c>
      <c r="J140" s="9" t="s">
        <v>180</v>
      </c>
      <c r="K140" s="22">
        <v>0.22590039000000001</v>
      </c>
      <c r="L140" s="9"/>
      <c r="M140" s="1">
        <v>82</v>
      </c>
      <c r="N140" s="9" t="s">
        <v>224</v>
      </c>
      <c r="O140" s="22">
        <v>0.36879205999999998</v>
      </c>
      <c r="P140" s="9"/>
      <c r="Q140" s="1">
        <v>82</v>
      </c>
      <c r="R140" s="9" t="s">
        <v>250</v>
      </c>
      <c r="S140" s="26">
        <v>0.34667991999999997</v>
      </c>
      <c r="T140" s="9"/>
      <c r="U140" s="1">
        <v>82</v>
      </c>
      <c r="V140" s="9" t="s">
        <v>253</v>
      </c>
      <c r="W140" s="22">
        <v>8.8169250000000005E-2</v>
      </c>
      <c r="X140" s="9"/>
      <c r="Y140" s="1">
        <v>82</v>
      </c>
      <c r="Z140" s="9" t="s">
        <v>165</v>
      </c>
      <c r="AA140" s="22">
        <v>0.44265942000000003</v>
      </c>
      <c r="AB140" s="9"/>
      <c r="AC140" s="1">
        <v>82</v>
      </c>
      <c r="AD140" s="9" t="s">
        <v>205</v>
      </c>
      <c r="AE140" s="35">
        <v>0.1441414</v>
      </c>
      <c r="AF140" s="9"/>
      <c r="AG140" s="1">
        <v>82</v>
      </c>
      <c r="AH140" s="9" t="s">
        <v>191</v>
      </c>
      <c r="AI140" s="22">
        <v>0.38026209</v>
      </c>
    </row>
    <row r="141" spans="1:35" x14ac:dyDescent="0.2">
      <c r="A141" s="1">
        <v>83</v>
      </c>
      <c r="B141" s="9" t="s">
        <v>227</v>
      </c>
      <c r="C141" s="22">
        <v>0.48788791999999997</v>
      </c>
      <c r="D141" s="9"/>
      <c r="E141" s="1">
        <v>83</v>
      </c>
      <c r="F141" s="9" t="s">
        <v>247</v>
      </c>
      <c r="G141" s="26">
        <v>0.40823236000000002</v>
      </c>
      <c r="H141" s="9"/>
      <c r="I141" s="1">
        <v>83</v>
      </c>
      <c r="J141" s="9" t="s">
        <v>225</v>
      </c>
      <c r="K141" s="22">
        <v>0.22510951000000001</v>
      </c>
      <c r="L141" s="9"/>
      <c r="M141" s="1">
        <v>83</v>
      </c>
      <c r="N141" s="9" t="s">
        <v>204</v>
      </c>
      <c r="O141" s="22">
        <v>0.36768335000000002</v>
      </c>
      <c r="P141" s="9"/>
      <c r="Q141" s="1">
        <v>83</v>
      </c>
      <c r="R141" s="9" t="s">
        <v>205</v>
      </c>
      <c r="S141" s="26">
        <v>0.33375848000000002</v>
      </c>
      <c r="T141" s="9"/>
      <c r="U141" s="1">
        <v>83</v>
      </c>
      <c r="V141" s="9" t="s">
        <v>165</v>
      </c>
      <c r="W141" s="22">
        <v>8.3606799999999995E-2</v>
      </c>
      <c r="X141" s="9"/>
      <c r="Y141" s="1">
        <v>83</v>
      </c>
      <c r="Z141" s="9" t="s">
        <v>263</v>
      </c>
      <c r="AA141" s="22">
        <v>0.43539572999999998</v>
      </c>
      <c r="AB141" s="9"/>
      <c r="AC141" s="1">
        <v>83</v>
      </c>
      <c r="AD141" s="9" t="s">
        <v>198</v>
      </c>
      <c r="AE141" s="35">
        <v>0.14313507</v>
      </c>
      <c r="AF141" s="9"/>
      <c r="AG141" s="1">
        <v>83</v>
      </c>
      <c r="AH141" s="9" t="s">
        <v>217</v>
      </c>
      <c r="AI141" s="22">
        <v>0.37964472999999999</v>
      </c>
    </row>
    <row r="142" spans="1:35" x14ac:dyDescent="0.2">
      <c r="A142" s="1">
        <v>84</v>
      </c>
      <c r="B142" s="9" t="s">
        <v>292</v>
      </c>
      <c r="C142" s="22">
        <v>0.48648904999999998</v>
      </c>
      <c r="D142" s="9"/>
      <c r="E142" s="1">
        <v>84</v>
      </c>
      <c r="F142" s="9" t="s">
        <v>215</v>
      </c>
      <c r="G142" s="26">
        <v>0.40650586</v>
      </c>
      <c r="H142" s="9"/>
      <c r="I142" s="1">
        <v>84</v>
      </c>
      <c r="J142" s="9" t="s">
        <v>226</v>
      </c>
      <c r="K142" s="22">
        <v>0.21900548</v>
      </c>
      <c r="L142" s="9"/>
      <c r="M142" s="1">
        <v>84</v>
      </c>
      <c r="N142" s="9" t="s">
        <v>252</v>
      </c>
      <c r="O142" s="22">
        <v>0.36605981999999998</v>
      </c>
      <c r="P142" s="9"/>
      <c r="Q142" s="1">
        <v>84</v>
      </c>
      <c r="R142" s="9" t="s">
        <v>122</v>
      </c>
      <c r="S142" s="26">
        <v>0.33163330000000002</v>
      </c>
      <c r="T142" s="9"/>
      <c r="U142" s="1">
        <v>84</v>
      </c>
      <c r="V142" s="9" t="s">
        <v>218</v>
      </c>
      <c r="W142" s="22">
        <v>8.3606799999999995E-2</v>
      </c>
      <c r="X142" s="9"/>
      <c r="Y142" s="1">
        <v>84</v>
      </c>
      <c r="Z142" s="9" t="s">
        <v>142</v>
      </c>
      <c r="AA142" s="22">
        <v>0.43416908999999998</v>
      </c>
      <c r="AB142" s="9"/>
      <c r="AC142" s="1">
        <v>84</v>
      </c>
      <c r="AD142" s="9" t="s">
        <v>167</v>
      </c>
      <c r="AE142" s="35">
        <v>0.14264189999999999</v>
      </c>
      <c r="AF142" s="9"/>
      <c r="AG142" s="1">
        <v>84</v>
      </c>
      <c r="AH142" s="9" t="s">
        <v>254</v>
      </c>
      <c r="AI142" s="22">
        <v>0.37623761999999999</v>
      </c>
    </row>
    <row r="143" spans="1:35" x14ac:dyDescent="0.2">
      <c r="A143" s="1">
        <v>85</v>
      </c>
      <c r="B143" s="9" t="s">
        <v>265</v>
      </c>
      <c r="C143" s="22">
        <v>0.47971581000000002</v>
      </c>
      <c r="D143" s="9"/>
      <c r="E143" s="1">
        <v>85</v>
      </c>
      <c r="F143" s="15" t="s">
        <v>153</v>
      </c>
      <c r="G143" s="27">
        <v>0.39926113000000002</v>
      </c>
      <c r="H143" s="9"/>
      <c r="I143" s="1">
        <v>85</v>
      </c>
      <c r="J143" s="9" t="s">
        <v>247</v>
      </c>
      <c r="K143" s="22">
        <v>0.21307627000000001</v>
      </c>
      <c r="L143" s="9"/>
      <c r="M143" s="1">
        <v>85</v>
      </c>
      <c r="N143" s="9" t="s">
        <v>292</v>
      </c>
      <c r="O143" s="22">
        <v>0.36537676000000002</v>
      </c>
      <c r="P143" s="9"/>
      <c r="Q143" s="1">
        <v>85</v>
      </c>
      <c r="R143" s="9" t="s">
        <v>239</v>
      </c>
      <c r="S143" s="26">
        <v>0.32976516</v>
      </c>
      <c r="T143" s="9"/>
      <c r="U143" s="1">
        <v>85</v>
      </c>
      <c r="V143" s="9" t="s">
        <v>142</v>
      </c>
      <c r="W143" s="22">
        <v>8.0220070000000004E-2</v>
      </c>
      <c r="X143" s="9"/>
      <c r="Y143" s="1">
        <v>85</v>
      </c>
      <c r="Z143" s="9" t="s">
        <v>202</v>
      </c>
      <c r="AA143" s="22">
        <v>0.43347560000000002</v>
      </c>
      <c r="AB143" s="9"/>
      <c r="AC143" s="1">
        <v>85</v>
      </c>
      <c r="AD143" s="9" t="s">
        <v>268</v>
      </c>
      <c r="AE143" s="35">
        <v>0.13831711999999999</v>
      </c>
      <c r="AF143" s="9"/>
      <c r="AG143" s="1">
        <v>85</v>
      </c>
      <c r="AH143" s="9" t="s">
        <v>267</v>
      </c>
      <c r="AI143" s="22">
        <v>0.36633663</v>
      </c>
    </row>
    <row r="144" spans="1:35" x14ac:dyDescent="0.2">
      <c r="A144" s="1">
        <v>86</v>
      </c>
      <c r="B144" s="9" t="s">
        <v>296</v>
      </c>
      <c r="C144" s="22">
        <v>0.47671102999999998</v>
      </c>
      <c r="D144" s="9"/>
      <c r="E144" s="1">
        <v>86</v>
      </c>
      <c r="F144" s="15" t="s">
        <v>174</v>
      </c>
      <c r="G144" s="27">
        <v>0.39333003</v>
      </c>
      <c r="H144" s="9"/>
      <c r="I144" s="1">
        <v>86</v>
      </c>
      <c r="J144" s="9" t="s">
        <v>266</v>
      </c>
      <c r="K144" s="22">
        <v>0.21196139999999999</v>
      </c>
      <c r="L144" s="9"/>
      <c r="M144" s="1">
        <v>86</v>
      </c>
      <c r="N144" s="9" t="s">
        <v>296</v>
      </c>
      <c r="O144" s="22">
        <v>0.36374676</v>
      </c>
      <c r="P144" s="9"/>
      <c r="Q144" s="1">
        <v>86</v>
      </c>
      <c r="R144" s="9" t="s">
        <v>225</v>
      </c>
      <c r="S144" s="26">
        <v>0.32359106999999998</v>
      </c>
      <c r="T144" s="9"/>
      <c r="U144" s="1">
        <v>86</v>
      </c>
      <c r="V144" s="9" t="s">
        <v>221</v>
      </c>
      <c r="W144" s="22">
        <v>7.9632209999999995E-2</v>
      </c>
      <c r="X144" s="9"/>
      <c r="Y144" s="1">
        <v>86</v>
      </c>
      <c r="Z144" s="9" t="s">
        <v>205</v>
      </c>
      <c r="AA144" s="22">
        <v>0.43139280000000002</v>
      </c>
      <c r="AB144" s="9"/>
      <c r="AC144" s="1">
        <v>86</v>
      </c>
      <c r="AD144" s="9" t="s">
        <v>204</v>
      </c>
      <c r="AE144" s="35">
        <v>0.13503994999999999</v>
      </c>
      <c r="AF144" s="9"/>
      <c r="AG144" s="1">
        <v>86</v>
      </c>
      <c r="AH144" s="9" t="s">
        <v>253</v>
      </c>
      <c r="AI144" s="22">
        <v>0.36138614000000002</v>
      </c>
    </row>
    <row r="145" spans="1:35" x14ac:dyDescent="0.2">
      <c r="A145" s="1">
        <v>87</v>
      </c>
      <c r="B145" s="9" t="s">
        <v>150</v>
      </c>
      <c r="C145" s="22">
        <v>0.47327071999999998</v>
      </c>
      <c r="D145" s="9"/>
      <c r="E145" s="1">
        <v>87</v>
      </c>
      <c r="F145" s="9" t="s">
        <v>171</v>
      </c>
      <c r="G145" s="26">
        <v>0.39093468999999997</v>
      </c>
      <c r="H145" s="9"/>
      <c r="I145" s="1">
        <v>87</v>
      </c>
      <c r="J145" s="9" t="s">
        <v>218</v>
      </c>
      <c r="K145" s="22">
        <v>0.20940686999999999</v>
      </c>
      <c r="L145" s="9"/>
      <c r="M145" s="1">
        <v>87</v>
      </c>
      <c r="N145" s="9" t="s">
        <v>250</v>
      </c>
      <c r="O145" s="22">
        <v>0.36271067000000001</v>
      </c>
      <c r="P145" s="9"/>
      <c r="Q145" s="1">
        <v>87</v>
      </c>
      <c r="R145" s="9" t="s">
        <v>220</v>
      </c>
      <c r="S145" s="26">
        <v>0.32038908999999999</v>
      </c>
      <c r="T145" s="9"/>
      <c r="U145" s="1">
        <v>87</v>
      </c>
      <c r="V145" s="9" t="s">
        <v>180</v>
      </c>
      <c r="W145" s="22">
        <v>7.6245480000000004E-2</v>
      </c>
      <c r="X145" s="9"/>
      <c r="Y145" s="1">
        <v>87</v>
      </c>
      <c r="Z145" s="9" t="s">
        <v>151</v>
      </c>
      <c r="AA145" s="22">
        <v>0.42892058999999999</v>
      </c>
      <c r="AB145" s="9"/>
      <c r="AC145" s="1">
        <v>87</v>
      </c>
      <c r="AD145" s="9" t="s">
        <v>187</v>
      </c>
      <c r="AE145" s="35">
        <v>0.13497018</v>
      </c>
      <c r="AF145" s="9"/>
      <c r="AG145" s="1">
        <v>87</v>
      </c>
      <c r="AH145" s="9" t="s">
        <v>268</v>
      </c>
      <c r="AI145" s="22">
        <v>0.35148515000000002</v>
      </c>
    </row>
    <row r="146" spans="1:35" x14ac:dyDescent="0.2">
      <c r="A146" s="1">
        <v>88</v>
      </c>
      <c r="B146" s="9" t="s">
        <v>258</v>
      </c>
      <c r="C146" s="22">
        <v>0.47184398</v>
      </c>
      <c r="D146" s="9"/>
      <c r="E146" s="1">
        <v>88</v>
      </c>
      <c r="F146" s="9" t="s">
        <v>254</v>
      </c>
      <c r="G146" s="26">
        <v>0.38825575000000001</v>
      </c>
      <c r="H146" s="9"/>
      <c r="I146" s="1">
        <v>88</v>
      </c>
      <c r="J146" s="9" t="s">
        <v>152</v>
      </c>
      <c r="K146" s="22">
        <v>0.19676853999999999</v>
      </c>
      <c r="L146" s="9"/>
      <c r="M146" s="1">
        <v>88</v>
      </c>
      <c r="N146" s="9" t="s">
        <v>127</v>
      </c>
      <c r="O146" s="22">
        <v>0.36039401999999998</v>
      </c>
      <c r="P146" s="9"/>
      <c r="Q146" s="1">
        <v>88</v>
      </c>
      <c r="R146" s="9" t="s">
        <v>211</v>
      </c>
      <c r="S146" s="26">
        <v>0.31888093000000001</v>
      </c>
      <c r="T146" s="9"/>
      <c r="U146" s="1">
        <v>88</v>
      </c>
      <c r="V146" s="9" t="s">
        <v>118</v>
      </c>
      <c r="W146" s="22">
        <v>7.5657619999999995E-2</v>
      </c>
      <c r="X146" s="9"/>
      <c r="Y146" s="1">
        <v>88</v>
      </c>
      <c r="Z146" s="9" t="s">
        <v>237</v>
      </c>
      <c r="AA146" s="22">
        <v>0.42357316</v>
      </c>
      <c r="AB146" s="9"/>
      <c r="AC146" s="1">
        <v>88</v>
      </c>
      <c r="AD146" s="9" t="s">
        <v>165</v>
      </c>
      <c r="AE146" s="35">
        <v>0.13356630999999999</v>
      </c>
      <c r="AF146" s="9"/>
      <c r="AG146" s="1">
        <v>88</v>
      </c>
      <c r="AH146" s="9" t="s">
        <v>249</v>
      </c>
      <c r="AI146" s="22">
        <v>0.35148515000000002</v>
      </c>
    </row>
    <row r="147" spans="1:35" x14ac:dyDescent="0.2">
      <c r="A147" s="1">
        <v>89</v>
      </c>
      <c r="B147" s="9" t="s">
        <v>231</v>
      </c>
      <c r="C147" s="22">
        <v>0.46967239999999999</v>
      </c>
      <c r="D147" s="9"/>
      <c r="E147" s="1">
        <v>89</v>
      </c>
      <c r="F147" s="9" t="s">
        <v>243</v>
      </c>
      <c r="G147" s="26">
        <v>0.38635594000000001</v>
      </c>
      <c r="H147" s="9"/>
      <c r="I147" s="1">
        <v>89</v>
      </c>
      <c r="J147" s="9" t="s">
        <v>265</v>
      </c>
      <c r="K147" s="22">
        <v>0.19664134</v>
      </c>
      <c r="L147" s="9"/>
      <c r="M147" s="1">
        <v>89</v>
      </c>
      <c r="N147" s="9" t="s">
        <v>293</v>
      </c>
      <c r="O147" s="22">
        <v>0.35907535000000002</v>
      </c>
      <c r="P147" s="9"/>
      <c r="Q147" s="1">
        <v>89</v>
      </c>
      <c r="R147" s="9" t="s">
        <v>180</v>
      </c>
      <c r="S147" s="26">
        <v>0.31268006999999998</v>
      </c>
      <c r="T147" s="9"/>
      <c r="U147" s="1">
        <v>89</v>
      </c>
      <c r="V147" s="9" t="s">
        <v>296</v>
      </c>
      <c r="W147" s="22">
        <v>7.5069769999999994E-2</v>
      </c>
      <c r="X147" s="9"/>
      <c r="Y147" s="1">
        <v>89</v>
      </c>
      <c r="Z147" s="9" t="s">
        <v>206</v>
      </c>
      <c r="AA147" s="22">
        <v>0.42150454999999998</v>
      </c>
      <c r="AB147" s="9"/>
      <c r="AC147" s="1">
        <v>89</v>
      </c>
      <c r="AD147" s="9" t="s">
        <v>180</v>
      </c>
      <c r="AE147" s="35">
        <v>0.13302752000000001</v>
      </c>
      <c r="AF147" s="9"/>
      <c r="AG147" s="1">
        <v>89</v>
      </c>
      <c r="AH147" s="9" t="s">
        <v>133</v>
      </c>
      <c r="AI147" s="22">
        <v>0.34251893</v>
      </c>
    </row>
    <row r="148" spans="1:35" x14ac:dyDescent="0.2">
      <c r="A148" s="1">
        <v>90</v>
      </c>
      <c r="B148" s="9" t="s">
        <v>255</v>
      </c>
      <c r="C148" s="22">
        <v>0.46525675999999999</v>
      </c>
      <c r="D148" s="9"/>
      <c r="E148" s="1">
        <v>90</v>
      </c>
      <c r="F148" s="9" t="s">
        <v>187</v>
      </c>
      <c r="G148" s="26">
        <v>0.38585663999999997</v>
      </c>
      <c r="H148" s="9"/>
      <c r="I148" s="1">
        <v>90</v>
      </c>
      <c r="J148" s="9" t="s">
        <v>107</v>
      </c>
      <c r="K148" s="22">
        <v>0.19506999999999999</v>
      </c>
      <c r="L148" s="9"/>
      <c r="M148" s="1">
        <v>90</v>
      </c>
      <c r="N148" s="9" t="s">
        <v>263</v>
      </c>
      <c r="O148" s="22">
        <v>0.35900489000000002</v>
      </c>
      <c r="P148" s="9"/>
      <c r="Q148" s="1">
        <v>90</v>
      </c>
      <c r="R148" s="9" t="s">
        <v>194</v>
      </c>
      <c r="S148" s="26">
        <v>0.31041204999999999</v>
      </c>
      <c r="T148" s="9"/>
      <c r="U148" s="1">
        <v>90</v>
      </c>
      <c r="V148" s="9" t="s">
        <v>249</v>
      </c>
      <c r="W148" s="22">
        <v>7.5069769999999994E-2</v>
      </c>
      <c r="X148" s="9"/>
      <c r="Y148" s="1">
        <v>90</v>
      </c>
      <c r="Z148" s="9" t="s">
        <v>217</v>
      </c>
      <c r="AA148" s="22">
        <v>0.41065499999999999</v>
      </c>
      <c r="AB148" s="9"/>
      <c r="AC148" s="1">
        <v>90</v>
      </c>
      <c r="AD148" s="9" t="s">
        <v>221</v>
      </c>
      <c r="AE148" s="35">
        <v>0.13175644</v>
      </c>
      <c r="AF148" s="9"/>
      <c r="AG148" s="1">
        <v>90</v>
      </c>
      <c r="AH148" s="9" t="s">
        <v>289</v>
      </c>
      <c r="AI148" s="22">
        <v>0.33787128999999999</v>
      </c>
    </row>
    <row r="149" spans="1:35" x14ac:dyDescent="0.2">
      <c r="A149" s="1">
        <v>91</v>
      </c>
      <c r="B149" s="9" t="s">
        <v>266</v>
      </c>
      <c r="C149" s="22">
        <v>0.46180852</v>
      </c>
      <c r="D149" s="9"/>
      <c r="E149" s="1">
        <v>91</v>
      </c>
      <c r="F149" s="9" t="s">
        <v>122</v>
      </c>
      <c r="G149" s="26">
        <v>0.38572838999999998</v>
      </c>
      <c r="H149" s="9"/>
      <c r="I149" s="1">
        <v>91</v>
      </c>
      <c r="J149" s="9" t="s">
        <v>170</v>
      </c>
      <c r="K149" s="22">
        <v>0.19377806</v>
      </c>
      <c r="L149" s="9"/>
      <c r="M149" s="1">
        <v>91</v>
      </c>
      <c r="N149" s="9" t="s">
        <v>167</v>
      </c>
      <c r="O149" s="22">
        <v>0.35780269999999997</v>
      </c>
      <c r="P149" s="9"/>
      <c r="Q149" s="1">
        <v>91</v>
      </c>
      <c r="R149" s="9" t="s">
        <v>196</v>
      </c>
      <c r="S149" s="26">
        <v>0.30937318000000003</v>
      </c>
      <c r="T149" s="9"/>
      <c r="U149" s="1">
        <v>91</v>
      </c>
      <c r="V149" s="9" t="s">
        <v>290</v>
      </c>
      <c r="W149" s="22">
        <v>7.1095179999999994E-2</v>
      </c>
      <c r="X149" s="9"/>
      <c r="Y149" s="1">
        <v>91</v>
      </c>
      <c r="Z149" s="9" t="s">
        <v>204</v>
      </c>
      <c r="AA149" s="22">
        <v>0.40653778000000002</v>
      </c>
      <c r="AB149" s="9"/>
      <c r="AC149" s="1">
        <v>91</v>
      </c>
      <c r="AD149" s="9" t="s">
        <v>227</v>
      </c>
      <c r="AE149" s="35">
        <v>0.13128471</v>
      </c>
      <c r="AF149" s="9"/>
      <c r="AG149" s="1">
        <v>91</v>
      </c>
      <c r="AH149" s="9" t="s">
        <v>263</v>
      </c>
      <c r="AI149" s="22">
        <v>0.33168317000000003</v>
      </c>
    </row>
    <row r="150" spans="1:35" x14ac:dyDescent="0.2">
      <c r="A150" s="1">
        <v>92</v>
      </c>
      <c r="B150" s="9" t="s">
        <v>198</v>
      </c>
      <c r="C150" s="22">
        <v>0.45239496000000001</v>
      </c>
      <c r="D150" s="9"/>
      <c r="E150" s="1">
        <v>92</v>
      </c>
      <c r="F150" s="9" t="s">
        <v>145</v>
      </c>
      <c r="G150" s="26">
        <v>0.38507353</v>
      </c>
      <c r="H150" s="9"/>
      <c r="I150" s="1">
        <v>92</v>
      </c>
      <c r="J150" s="9" t="s">
        <v>109</v>
      </c>
      <c r="K150" s="22">
        <v>0.19314564000000001</v>
      </c>
      <c r="L150" s="9"/>
      <c r="M150" s="1">
        <v>92</v>
      </c>
      <c r="N150" s="9" t="s">
        <v>155</v>
      </c>
      <c r="O150" s="22">
        <v>0.35264595999999998</v>
      </c>
      <c r="P150" s="9"/>
      <c r="Q150" s="1">
        <v>92</v>
      </c>
      <c r="R150" s="9" t="s">
        <v>214</v>
      </c>
      <c r="S150" s="26">
        <v>0.30788264999999998</v>
      </c>
      <c r="T150" s="9"/>
      <c r="U150" s="1">
        <v>92</v>
      </c>
      <c r="V150" s="9" t="s">
        <v>292</v>
      </c>
      <c r="W150" s="22">
        <v>6.7120589999999994E-2</v>
      </c>
      <c r="X150" s="9"/>
      <c r="Y150" s="1">
        <v>92</v>
      </c>
      <c r="Z150" s="9" t="s">
        <v>266</v>
      </c>
      <c r="AA150" s="22">
        <v>0.39631735000000001</v>
      </c>
      <c r="AB150" s="9"/>
      <c r="AC150" s="1">
        <v>92</v>
      </c>
      <c r="AD150" s="9" t="s">
        <v>210</v>
      </c>
      <c r="AE150" s="35">
        <v>0.12948512000000001</v>
      </c>
      <c r="AF150" s="9"/>
      <c r="AG150" s="1">
        <v>92</v>
      </c>
      <c r="AH150" s="9" t="s">
        <v>257</v>
      </c>
      <c r="AI150" s="22">
        <v>0.31645894000000002</v>
      </c>
    </row>
    <row r="151" spans="1:35" x14ac:dyDescent="0.2">
      <c r="A151" s="1">
        <v>93</v>
      </c>
      <c r="B151" s="9" t="s">
        <v>237</v>
      </c>
      <c r="C151" s="22">
        <v>0.44708265000000003</v>
      </c>
      <c r="D151" s="9"/>
      <c r="E151" s="1">
        <v>93</v>
      </c>
      <c r="F151" s="9" t="s">
        <v>188</v>
      </c>
      <c r="G151" s="26">
        <v>0.38417196999999997</v>
      </c>
      <c r="H151" s="9"/>
      <c r="I151" s="1">
        <v>93</v>
      </c>
      <c r="J151" s="9" t="s">
        <v>213</v>
      </c>
      <c r="K151" s="22">
        <v>0.19131658000000001</v>
      </c>
      <c r="L151" s="9"/>
      <c r="M151" s="1">
        <v>93</v>
      </c>
      <c r="N151" s="9" t="s">
        <v>170</v>
      </c>
      <c r="O151" s="22">
        <v>0.34861375</v>
      </c>
      <c r="P151" s="9"/>
      <c r="Q151" s="1">
        <v>93</v>
      </c>
      <c r="R151" s="9" t="s">
        <v>233</v>
      </c>
      <c r="S151" s="26">
        <v>0.30725465000000002</v>
      </c>
      <c r="T151" s="9"/>
      <c r="U151" s="1">
        <v>93</v>
      </c>
      <c r="V151" s="9" t="s">
        <v>123</v>
      </c>
      <c r="W151" s="22">
        <v>6.7120589999999994E-2</v>
      </c>
      <c r="X151" s="9"/>
      <c r="Y151" s="1">
        <v>93</v>
      </c>
      <c r="Z151" s="9" t="s">
        <v>250</v>
      </c>
      <c r="AA151" s="22">
        <v>0.39310887999999999</v>
      </c>
      <c r="AB151" s="9"/>
      <c r="AC151" s="1">
        <v>93</v>
      </c>
      <c r="AD151" s="9" t="s">
        <v>266</v>
      </c>
      <c r="AE151" s="35">
        <v>0.12554675000000001</v>
      </c>
      <c r="AF151" s="9"/>
      <c r="AG151" s="1">
        <v>93</v>
      </c>
      <c r="AH151" s="9" t="s">
        <v>216</v>
      </c>
      <c r="AI151" s="22">
        <v>0.30198019999999998</v>
      </c>
    </row>
    <row r="152" spans="1:35" x14ac:dyDescent="0.2">
      <c r="A152" s="1">
        <v>94</v>
      </c>
      <c r="B152" s="9" t="s">
        <v>256</v>
      </c>
      <c r="C152" s="22">
        <v>0.43752521999999999</v>
      </c>
      <c r="D152" s="9"/>
      <c r="E152" s="1">
        <v>94</v>
      </c>
      <c r="F152" s="9" t="s">
        <v>258</v>
      </c>
      <c r="G152" s="26">
        <v>0.38382926000000001</v>
      </c>
      <c r="H152" s="9"/>
      <c r="I152" s="1">
        <v>94</v>
      </c>
      <c r="J152" s="9" t="s">
        <v>150</v>
      </c>
      <c r="K152" s="22">
        <v>0.1906292</v>
      </c>
      <c r="L152" s="9"/>
      <c r="M152" s="1">
        <v>94</v>
      </c>
      <c r="N152" s="9" t="s">
        <v>109</v>
      </c>
      <c r="O152" s="22">
        <v>0.34587432000000001</v>
      </c>
      <c r="P152" s="9"/>
      <c r="Q152" s="1">
        <v>94</v>
      </c>
      <c r="R152" s="9" t="s">
        <v>261</v>
      </c>
      <c r="S152" s="26">
        <v>0.30430897000000001</v>
      </c>
      <c r="T152" s="9"/>
      <c r="U152" s="1">
        <v>94</v>
      </c>
      <c r="V152" s="9" t="s">
        <v>267</v>
      </c>
      <c r="W152" s="22">
        <v>6.7120589999999994E-2</v>
      </c>
      <c r="X152" s="9"/>
      <c r="Y152" s="1">
        <v>94</v>
      </c>
      <c r="Z152" s="9" t="s">
        <v>255</v>
      </c>
      <c r="AA152" s="22">
        <v>0.39020249000000001</v>
      </c>
      <c r="AB152" s="9"/>
      <c r="AC152" s="1">
        <v>94</v>
      </c>
      <c r="AD152" s="9" t="s">
        <v>261</v>
      </c>
      <c r="AE152" s="35">
        <v>0.12403185</v>
      </c>
      <c r="AF152" s="9"/>
      <c r="AG152" s="1">
        <v>94</v>
      </c>
      <c r="AH152" s="9" t="s">
        <v>149</v>
      </c>
      <c r="AI152" s="22">
        <v>0.29702970000000001</v>
      </c>
    </row>
    <row r="153" spans="1:35" x14ac:dyDescent="0.2">
      <c r="A153" s="1">
        <v>95</v>
      </c>
      <c r="B153" s="9" t="s">
        <v>125</v>
      </c>
      <c r="C153" s="22">
        <v>0.43098428999999999</v>
      </c>
      <c r="D153" s="9"/>
      <c r="E153" s="1">
        <v>95</v>
      </c>
      <c r="F153" s="9" t="s">
        <v>263</v>
      </c>
      <c r="G153" s="26">
        <v>0.37265057000000001</v>
      </c>
      <c r="H153" s="9"/>
      <c r="I153" s="1">
        <v>95</v>
      </c>
      <c r="J153" s="9" t="s">
        <v>224</v>
      </c>
      <c r="K153" s="22">
        <v>0.18869253</v>
      </c>
      <c r="L153" s="9"/>
      <c r="M153" s="1">
        <v>95</v>
      </c>
      <c r="N153" s="9" t="s">
        <v>264</v>
      </c>
      <c r="O153" s="22">
        <v>0.34550905999999998</v>
      </c>
      <c r="P153" s="9"/>
      <c r="Q153" s="1">
        <v>95</v>
      </c>
      <c r="R153" s="9" t="s">
        <v>174</v>
      </c>
      <c r="S153" s="26">
        <v>0.30303238999999998</v>
      </c>
      <c r="T153" s="9"/>
      <c r="U153" s="1">
        <v>95</v>
      </c>
      <c r="V153" s="9" t="s">
        <v>162</v>
      </c>
      <c r="W153" s="22">
        <v>6.3145989999999999E-2</v>
      </c>
      <c r="X153" s="9"/>
      <c r="Y153" s="1">
        <v>95</v>
      </c>
      <c r="Z153" s="9" t="s">
        <v>195</v>
      </c>
      <c r="AA153" s="22">
        <v>0.39001941000000001</v>
      </c>
      <c r="AB153" s="9"/>
      <c r="AC153" s="1">
        <v>95</v>
      </c>
      <c r="AD153" s="9" t="s">
        <v>224</v>
      </c>
      <c r="AE153" s="35">
        <v>0.11921182</v>
      </c>
      <c r="AF153" s="9"/>
      <c r="AG153" s="1">
        <v>95</v>
      </c>
      <c r="AH153" s="9" t="s">
        <v>221</v>
      </c>
      <c r="AI153" s="22">
        <v>0.29207920999999998</v>
      </c>
    </row>
    <row r="154" spans="1:35" x14ac:dyDescent="0.2">
      <c r="A154" s="1">
        <v>96</v>
      </c>
      <c r="B154" s="9" t="s">
        <v>259</v>
      </c>
      <c r="C154" s="22">
        <v>0.42422620999999999</v>
      </c>
      <c r="D154" s="9"/>
      <c r="E154" s="1">
        <v>96</v>
      </c>
      <c r="F154" s="9" t="s">
        <v>262</v>
      </c>
      <c r="G154" s="26">
        <v>0.37139231</v>
      </c>
      <c r="H154" s="9"/>
      <c r="I154" s="1">
        <v>96</v>
      </c>
      <c r="J154" s="9" t="s">
        <v>201</v>
      </c>
      <c r="K154" s="22">
        <v>0.18390846</v>
      </c>
      <c r="L154" s="9"/>
      <c r="M154" s="1">
        <v>96</v>
      </c>
      <c r="N154" s="9" t="s">
        <v>195</v>
      </c>
      <c r="O154" s="22">
        <v>0.34296808000000001</v>
      </c>
      <c r="P154" s="9"/>
      <c r="Q154" s="1">
        <v>96</v>
      </c>
      <c r="R154" s="9" t="s">
        <v>201</v>
      </c>
      <c r="S154" s="26">
        <v>0.2998113</v>
      </c>
      <c r="T154" s="9"/>
      <c r="U154" s="1">
        <v>96</v>
      </c>
      <c r="V154" s="9" t="s">
        <v>200</v>
      </c>
      <c r="W154" s="22">
        <v>5.9634890000000003E-2</v>
      </c>
      <c r="X154" s="9"/>
      <c r="Y154" s="1">
        <v>96</v>
      </c>
      <c r="Z154" s="9" t="s">
        <v>296</v>
      </c>
      <c r="AA154" s="22">
        <v>0.38624339000000002</v>
      </c>
      <c r="AB154" s="9"/>
      <c r="AC154" s="1">
        <v>96</v>
      </c>
      <c r="AD154" s="9" t="s">
        <v>231</v>
      </c>
      <c r="AE154" s="35">
        <v>0.11855886</v>
      </c>
      <c r="AF154" s="9"/>
      <c r="AG154" s="1">
        <v>96</v>
      </c>
      <c r="AH154" s="9" t="s">
        <v>142</v>
      </c>
      <c r="AI154" s="22">
        <v>0.28712871000000001</v>
      </c>
    </row>
    <row r="155" spans="1:35" x14ac:dyDescent="0.2">
      <c r="A155" s="1">
        <v>97</v>
      </c>
      <c r="B155" s="9" t="s">
        <v>217</v>
      </c>
      <c r="C155" s="22">
        <v>0.42374151999999998</v>
      </c>
      <c r="D155" s="9"/>
      <c r="E155" s="1">
        <v>97</v>
      </c>
      <c r="F155" s="9" t="s">
        <v>152</v>
      </c>
      <c r="G155" s="26">
        <v>0.37018971000000001</v>
      </c>
      <c r="H155" s="9"/>
      <c r="I155" s="1">
        <v>97</v>
      </c>
      <c r="J155" s="9" t="s">
        <v>215</v>
      </c>
      <c r="K155" s="22">
        <v>0.18356697999999999</v>
      </c>
      <c r="L155" s="9"/>
      <c r="M155" s="1">
        <v>97</v>
      </c>
      <c r="N155" s="9" t="s">
        <v>147</v>
      </c>
      <c r="O155" s="22">
        <v>0.34034080999999999</v>
      </c>
      <c r="P155" s="9"/>
      <c r="Q155" s="1">
        <v>97</v>
      </c>
      <c r="R155" s="9" t="s">
        <v>192</v>
      </c>
      <c r="S155" s="26">
        <v>0.29968652000000001</v>
      </c>
      <c r="T155" s="9"/>
      <c r="U155" s="1">
        <v>97</v>
      </c>
      <c r="V155" s="9" t="s">
        <v>233</v>
      </c>
      <c r="W155" s="22">
        <v>5.8583549999999998E-2</v>
      </c>
      <c r="X155" s="9"/>
      <c r="Y155" s="1">
        <v>97</v>
      </c>
      <c r="Z155" s="9" t="s">
        <v>169</v>
      </c>
      <c r="AA155" s="22">
        <v>0.38528222000000001</v>
      </c>
      <c r="AB155" s="9"/>
      <c r="AC155" s="1">
        <v>97</v>
      </c>
      <c r="AD155" s="9" t="s">
        <v>262</v>
      </c>
      <c r="AE155" s="35">
        <v>0.11453521999999999</v>
      </c>
      <c r="AF155" s="9"/>
      <c r="AG155" s="1">
        <v>97</v>
      </c>
      <c r="AH155" s="9" t="s">
        <v>262</v>
      </c>
      <c r="AI155" s="22">
        <v>0.27970297</v>
      </c>
    </row>
    <row r="156" spans="1:35" x14ac:dyDescent="0.2">
      <c r="A156" s="1">
        <v>98</v>
      </c>
      <c r="B156" s="9" t="s">
        <v>109</v>
      </c>
      <c r="C156" s="22">
        <v>0.42364457999999999</v>
      </c>
      <c r="D156" s="9"/>
      <c r="E156" s="1">
        <v>98</v>
      </c>
      <c r="F156" s="9" t="s">
        <v>217</v>
      </c>
      <c r="G156" s="26">
        <v>0.36980837999999999</v>
      </c>
      <c r="H156" s="9"/>
      <c r="I156" s="1">
        <v>98</v>
      </c>
      <c r="J156" s="9" t="s">
        <v>202</v>
      </c>
      <c r="K156" s="22">
        <v>0.18327663</v>
      </c>
      <c r="L156" s="9"/>
      <c r="M156" s="1">
        <v>98</v>
      </c>
      <c r="N156" s="9" t="s">
        <v>145</v>
      </c>
      <c r="O156" s="22">
        <v>0.33963473999999999</v>
      </c>
      <c r="P156" s="9"/>
      <c r="Q156" s="1">
        <v>98</v>
      </c>
      <c r="R156" s="9" t="s">
        <v>181</v>
      </c>
      <c r="S156" s="26">
        <v>0.29511929999999997</v>
      </c>
      <c r="T156" s="9"/>
      <c r="U156" s="1">
        <v>98</v>
      </c>
      <c r="V156" s="9" t="s">
        <v>131</v>
      </c>
      <c r="W156" s="22">
        <v>5.0634369999999998E-2</v>
      </c>
      <c r="X156" s="9"/>
      <c r="Y156" s="1">
        <v>98</v>
      </c>
      <c r="Z156" s="9" t="s">
        <v>219</v>
      </c>
      <c r="AA156" s="22">
        <v>0.38354295999999999</v>
      </c>
      <c r="AB156" s="9"/>
      <c r="AC156" s="1">
        <v>98</v>
      </c>
      <c r="AD156" s="9" t="s">
        <v>252</v>
      </c>
      <c r="AE156" s="35">
        <v>0.10793634000000001</v>
      </c>
      <c r="AF156" s="9"/>
      <c r="AG156" s="1">
        <v>98</v>
      </c>
      <c r="AH156" s="9" t="s">
        <v>242</v>
      </c>
      <c r="AI156" s="22">
        <v>0.27722772000000001</v>
      </c>
    </row>
    <row r="157" spans="1:35" x14ac:dyDescent="0.2">
      <c r="A157" s="1">
        <v>99</v>
      </c>
      <c r="B157" s="9" t="s">
        <v>169</v>
      </c>
      <c r="C157" s="22">
        <v>0.42306777000000001</v>
      </c>
      <c r="D157" s="9"/>
      <c r="E157" s="1">
        <v>99</v>
      </c>
      <c r="F157" s="9" t="s">
        <v>231</v>
      </c>
      <c r="G157" s="26">
        <v>0.36907250000000003</v>
      </c>
      <c r="H157" s="9"/>
      <c r="I157" s="1">
        <v>99</v>
      </c>
      <c r="J157" s="9" t="s">
        <v>214</v>
      </c>
      <c r="K157" s="22">
        <v>0.18322206999999999</v>
      </c>
      <c r="L157" s="9"/>
      <c r="M157" s="1">
        <v>99</v>
      </c>
      <c r="N157" s="9" t="s">
        <v>214</v>
      </c>
      <c r="O157" s="22">
        <v>0.33620361999999998</v>
      </c>
      <c r="P157" s="9"/>
      <c r="Q157" s="1">
        <v>99</v>
      </c>
      <c r="R157" s="9" t="s">
        <v>230</v>
      </c>
      <c r="S157" s="26">
        <v>0.28829419000000001</v>
      </c>
      <c r="T157" s="9"/>
      <c r="U157" s="1">
        <v>99</v>
      </c>
      <c r="V157" s="9" t="s">
        <v>186</v>
      </c>
      <c r="W157" s="22">
        <v>5.0046510000000002E-2</v>
      </c>
      <c r="X157" s="9"/>
      <c r="Y157" s="1">
        <v>99</v>
      </c>
      <c r="Z157" s="9" t="s">
        <v>191</v>
      </c>
      <c r="AA157" s="22">
        <v>0.38291597999999999</v>
      </c>
      <c r="AB157" s="9"/>
      <c r="AC157" s="1">
        <v>99</v>
      </c>
      <c r="AD157" s="9" t="s">
        <v>207</v>
      </c>
      <c r="AE157" s="35">
        <v>0.10626147</v>
      </c>
      <c r="AF157" s="9"/>
      <c r="AG157" s="1">
        <v>99</v>
      </c>
      <c r="AH157" s="9" t="s">
        <v>231</v>
      </c>
      <c r="AI157" s="22">
        <v>0.26237623999999998</v>
      </c>
    </row>
    <row r="158" spans="1:35" x14ac:dyDescent="0.2">
      <c r="A158" s="1">
        <v>100</v>
      </c>
      <c r="B158" s="9" t="s">
        <v>239</v>
      </c>
      <c r="C158" s="22">
        <v>0.42223367000000001</v>
      </c>
      <c r="D158" s="9"/>
      <c r="E158" s="1">
        <v>100</v>
      </c>
      <c r="F158" s="9" t="s">
        <v>172</v>
      </c>
      <c r="G158" s="26">
        <v>0.36693183000000001</v>
      </c>
      <c r="H158" s="9"/>
      <c r="I158" s="1">
        <v>100</v>
      </c>
      <c r="J158" s="9" t="s">
        <v>292</v>
      </c>
      <c r="K158" s="22">
        <v>0.18016867</v>
      </c>
      <c r="L158" s="9"/>
      <c r="M158" s="1">
        <v>100</v>
      </c>
      <c r="N158" s="9" t="s">
        <v>206</v>
      </c>
      <c r="O158" s="22">
        <v>0.33291630999999999</v>
      </c>
      <c r="P158" s="9"/>
      <c r="Q158" s="1">
        <v>100</v>
      </c>
      <c r="R158" s="9" t="s">
        <v>258</v>
      </c>
      <c r="S158" s="26">
        <v>0.28420843000000001</v>
      </c>
      <c r="T158" s="9"/>
      <c r="U158" s="1">
        <v>100</v>
      </c>
      <c r="V158" s="9" t="s">
        <v>235</v>
      </c>
      <c r="W158" s="22">
        <v>5.0046510000000002E-2</v>
      </c>
      <c r="X158" s="9"/>
      <c r="Y158" s="1">
        <v>100</v>
      </c>
      <c r="Z158" s="9" t="s">
        <v>188</v>
      </c>
      <c r="AA158" s="22">
        <v>0.38117720999999999</v>
      </c>
      <c r="AB158" s="9"/>
      <c r="AC158" s="1">
        <v>100</v>
      </c>
      <c r="AD158" s="9" t="s">
        <v>169</v>
      </c>
      <c r="AE158" s="35">
        <v>0.10599074999999999</v>
      </c>
      <c r="AF158" s="9"/>
      <c r="AG158" s="1">
        <v>100</v>
      </c>
      <c r="AH158" s="9" t="s">
        <v>135</v>
      </c>
      <c r="AI158" s="22">
        <v>0.25742574000000001</v>
      </c>
    </row>
    <row r="159" spans="1:35" x14ac:dyDescent="0.2">
      <c r="A159" s="1">
        <v>101</v>
      </c>
      <c r="B159" s="9" t="s">
        <v>183</v>
      </c>
      <c r="C159" s="22">
        <v>0.41892228999999997</v>
      </c>
      <c r="D159" s="9"/>
      <c r="E159" s="1">
        <v>101</v>
      </c>
      <c r="F159" s="9" t="s">
        <v>239</v>
      </c>
      <c r="G159" s="26">
        <v>0.36310017</v>
      </c>
      <c r="H159" s="9"/>
      <c r="I159" s="1">
        <v>101</v>
      </c>
      <c r="J159" s="9" t="s">
        <v>258</v>
      </c>
      <c r="K159" s="22">
        <v>0.17952673</v>
      </c>
      <c r="L159" s="9"/>
      <c r="M159" s="1">
        <v>101</v>
      </c>
      <c r="N159" s="9" t="s">
        <v>191</v>
      </c>
      <c r="O159" s="22">
        <v>0.33230946</v>
      </c>
      <c r="P159" s="9"/>
      <c r="Q159" s="1">
        <v>101</v>
      </c>
      <c r="R159" s="9" t="s">
        <v>199</v>
      </c>
      <c r="S159" s="26">
        <v>0.27582571</v>
      </c>
      <c r="T159" s="9"/>
      <c r="U159" s="1">
        <v>101</v>
      </c>
      <c r="V159" s="9" t="s">
        <v>185</v>
      </c>
      <c r="W159" s="22">
        <v>3.5496960000000001E-2</v>
      </c>
      <c r="X159" s="9"/>
      <c r="Y159" s="1">
        <v>101</v>
      </c>
      <c r="Z159" s="9" t="s">
        <v>213</v>
      </c>
      <c r="AA159" s="22">
        <v>0.37373445999999999</v>
      </c>
      <c r="AB159" s="9"/>
      <c r="AC159" s="1">
        <v>101</v>
      </c>
      <c r="AD159" s="9" t="s">
        <v>226</v>
      </c>
      <c r="AE159" s="35">
        <v>0.10224318</v>
      </c>
      <c r="AF159" s="9"/>
      <c r="AG159" s="1">
        <v>101</v>
      </c>
      <c r="AH159" s="9" t="s">
        <v>213</v>
      </c>
      <c r="AI159" s="22">
        <v>0.25247524999999998</v>
      </c>
    </row>
    <row r="160" spans="1:35" x14ac:dyDescent="0.2">
      <c r="A160" s="1">
        <v>102</v>
      </c>
      <c r="B160" s="9" t="s">
        <v>142</v>
      </c>
      <c r="C160" s="22">
        <v>0.41708178000000001</v>
      </c>
      <c r="D160" s="9"/>
      <c r="E160" s="1">
        <v>102</v>
      </c>
      <c r="F160" s="9" t="s">
        <v>202</v>
      </c>
      <c r="G160" s="26">
        <v>0.35981659999999999</v>
      </c>
      <c r="H160" s="9"/>
      <c r="I160" s="1">
        <v>102</v>
      </c>
      <c r="J160" s="9" t="s">
        <v>140</v>
      </c>
      <c r="K160" s="22">
        <v>0.17916819</v>
      </c>
      <c r="L160" s="9"/>
      <c r="M160" s="1">
        <v>102</v>
      </c>
      <c r="N160" s="9" t="s">
        <v>197</v>
      </c>
      <c r="O160" s="22">
        <v>0.32460454</v>
      </c>
      <c r="P160" s="9"/>
      <c r="Q160" s="1">
        <v>102</v>
      </c>
      <c r="R160" s="9" t="s">
        <v>135</v>
      </c>
      <c r="S160" s="26">
        <v>0.27100089999999999</v>
      </c>
      <c r="T160" s="9"/>
      <c r="U160" s="1">
        <v>102</v>
      </c>
      <c r="V160" s="9" t="s">
        <v>219</v>
      </c>
      <c r="W160" s="22">
        <v>3.356029E-2</v>
      </c>
      <c r="X160" s="9"/>
      <c r="Y160" s="1">
        <v>102</v>
      </c>
      <c r="Z160" s="9" t="s">
        <v>196</v>
      </c>
      <c r="AA160" s="22">
        <v>0.36655809</v>
      </c>
      <c r="AB160" s="9"/>
      <c r="AC160" s="1">
        <v>102</v>
      </c>
      <c r="AD160" s="9" t="s">
        <v>216</v>
      </c>
      <c r="AE160" s="35">
        <v>0.1007879</v>
      </c>
      <c r="AF160" s="9"/>
      <c r="AG160" s="1">
        <v>102</v>
      </c>
      <c r="AH160" s="9" t="s">
        <v>290</v>
      </c>
      <c r="AI160" s="22">
        <v>0.24752474999999999</v>
      </c>
    </row>
    <row r="161" spans="1:35" x14ac:dyDescent="0.2">
      <c r="A161" s="1">
        <v>103</v>
      </c>
      <c r="B161" s="9" t="s">
        <v>152</v>
      </c>
      <c r="C161" s="22">
        <v>0.40665825</v>
      </c>
      <c r="D161" s="9"/>
      <c r="E161" s="1">
        <v>103</v>
      </c>
      <c r="F161" s="9" t="s">
        <v>236</v>
      </c>
      <c r="G161" s="26">
        <v>0.35039960999999997</v>
      </c>
      <c r="H161" s="9"/>
      <c r="I161" s="1">
        <v>103</v>
      </c>
      <c r="J161" s="9" t="s">
        <v>157</v>
      </c>
      <c r="K161" s="22">
        <v>0.1780882</v>
      </c>
      <c r="L161" s="9"/>
      <c r="M161" s="1">
        <v>103</v>
      </c>
      <c r="N161" s="9" t="s">
        <v>125</v>
      </c>
      <c r="O161" s="22">
        <v>0.32137042999999998</v>
      </c>
      <c r="P161" s="9"/>
      <c r="Q161" s="1">
        <v>103</v>
      </c>
      <c r="R161" s="9" t="s">
        <v>204</v>
      </c>
      <c r="S161" s="26">
        <v>0.26968825000000002</v>
      </c>
      <c r="T161" s="9"/>
      <c r="U161" s="1">
        <v>103</v>
      </c>
      <c r="V161" s="9" t="s">
        <v>236</v>
      </c>
      <c r="W161" s="22">
        <v>3.356029E-2</v>
      </c>
      <c r="X161" s="9"/>
      <c r="Y161" s="1">
        <v>103</v>
      </c>
      <c r="Z161" s="9" t="s">
        <v>223</v>
      </c>
      <c r="AA161" s="22">
        <v>0.36131003</v>
      </c>
      <c r="AB161" s="9"/>
      <c r="AC161" s="1">
        <v>103</v>
      </c>
      <c r="AD161" s="9" t="s">
        <v>191</v>
      </c>
      <c r="AE161" s="35">
        <v>9.9891659999999993E-2</v>
      </c>
      <c r="AF161" s="9"/>
      <c r="AG161" s="1">
        <v>103</v>
      </c>
      <c r="AH161" s="9" t="s">
        <v>296</v>
      </c>
      <c r="AI161" s="22">
        <v>0.24257426000000001</v>
      </c>
    </row>
    <row r="162" spans="1:35" x14ac:dyDescent="0.2">
      <c r="A162" s="1">
        <v>104</v>
      </c>
      <c r="B162" s="9" t="s">
        <v>172</v>
      </c>
      <c r="C162" s="22">
        <v>0.40372338000000002</v>
      </c>
      <c r="D162" s="9"/>
      <c r="E162" s="1">
        <v>104</v>
      </c>
      <c r="F162" s="9" t="s">
        <v>191</v>
      </c>
      <c r="G162" s="26">
        <v>0.34791612</v>
      </c>
      <c r="H162" s="9"/>
      <c r="I162" s="1">
        <v>104</v>
      </c>
      <c r="J162" s="9" t="s">
        <v>249</v>
      </c>
      <c r="K162" s="22">
        <v>0.17643308999999999</v>
      </c>
      <c r="L162" s="9"/>
      <c r="M162" s="1">
        <v>104</v>
      </c>
      <c r="N162" s="9" t="s">
        <v>213</v>
      </c>
      <c r="O162" s="22">
        <v>0.32115617000000002</v>
      </c>
      <c r="P162" s="9"/>
      <c r="Q162" s="1">
        <v>104</v>
      </c>
      <c r="R162" s="9" t="s">
        <v>177</v>
      </c>
      <c r="S162" s="26">
        <v>0.26560511999999997</v>
      </c>
      <c r="T162" s="9"/>
      <c r="U162" s="1">
        <v>104</v>
      </c>
      <c r="V162" s="9" t="s">
        <v>261</v>
      </c>
      <c r="W162" s="22">
        <v>3.356029E-2</v>
      </c>
      <c r="X162" s="9"/>
      <c r="Y162" s="1">
        <v>104</v>
      </c>
      <c r="Z162" s="9" t="s">
        <v>218</v>
      </c>
      <c r="AA162" s="22">
        <v>0.35658445999999999</v>
      </c>
      <c r="AB162" s="9"/>
      <c r="AC162" s="1">
        <v>104</v>
      </c>
      <c r="AD162" s="9" t="s">
        <v>206</v>
      </c>
      <c r="AE162" s="35">
        <v>9.9083299999999999E-2</v>
      </c>
      <c r="AF162" s="9"/>
      <c r="AG162" s="1">
        <v>104</v>
      </c>
      <c r="AH162" s="9" t="s">
        <v>223</v>
      </c>
      <c r="AI162" s="22">
        <v>0.23762375999999999</v>
      </c>
    </row>
    <row r="163" spans="1:35" x14ac:dyDescent="0.2">
      <c r="A163" s="1">
        <v>105</v>
      </c>
      <c r="B163" s="9" t="s">
        <v>222</v>
      </c>
      <c r="C163" s="22">
        <v>0.40315769000000001</v>
      </c>
      <c r="D163" s="9"/>
      <c r="E163" s="1">
        <v>105</v>
      </c>
      <c r="F163" s="9" t="s">
        <v>255</v>
      </c>
      <c r="G163" s="26">
        <v>0.34532085000000001</v>
      </c>
      <c r="H163" s="9"/>
      <c r="I163" s="1">
        <v>105</v>
      </c>
      <c r="J163" s="9" t="s">
        <v>267</v>
      </c>
      <c r="K163" s="22">
        <v>0.17290605000000001</v>
      </c>
      <c r="L163" s="9"/>
      <c r="M163" s="1">
        <v>105</v>
      </c>
      <c r="N163" s="9" t="s">
        <v>173</v>
      </c>
      <c r="O163" s="22">
        <v>0.31712683000000003</v>
      </c>
      <c r="P163" s="9"/>
      <c r="Q163" s="1">
        <v>105</v>
      </c>
      <c r="R163" s="9" t="s">
        <v>187</v>
      </c>
      <c r="S163" s="26">
        <v>0.25852452999999997</v>
      </c>
      <c r="T163" s="9"/>
      <c r="U163" s="1">
        <v>105</v>
      </c>
      <c r="V163" s="9" t="s">
        <v>169</v>
      </c>
      <c r="W163" s="22">
        <v>2.9585699999999999E-2</v>
      </c>
      <c r="X163" s="9"/>
      <c r="Y163" s="1">
        <v>105</v>
      </c>
      <c r="Z163" s="9" t="s">
        <v>262</v>
      </c>
      <c r="AA163" s="22">
        <v>0.35640137999999999</v>
      </c>
      <c r="AB163" s="9"/>
      <c r="AC163" s="1">
        <v>105</v>
      </c>
      <c r="AD163" s="9" t="s">
        <v>259</v>
      </c>
      <c r="AE163" s="35">
        <v>9.8415740000000002E-2</v>
      </c>
      <c r="AF163" s="9"/>
      <c r="AG163" s="1">
        <v>105</v>
      </c>
      <c r="AH163" s="9" t="s">
        <v>197</v>
      </c>
      <c r="AI163" s="22">
        <v>0.23267326999999999</v>
      </c>
    </row>
    <row r="164" spans="1:35" x14ac:dyDescent="0.2">
      <c r="A164" s="1">
        <v>106</v>
      </c>
      <c r="B164" s="9" t="s">
        <v>197</v>
      </c>
      <c r="C164" s="22">
        <v>0.40229699000000002</v>
      </c>
      <c r="D164" s="9"/>
      <c r="E164" s="1">
        <v>106</v>
      </c>
      <c r="F164" s="9" t="s">
        <v>156</v>
      </c>
      <c r="G164" s="26">
        <v>0.34333398999999998</v>
      </c>
      <c r="H164" s="9"/>
      <c r="I164" s="1">
        <v>106</v>
      </c>
      <c r="J164" s="9" t="s">
        <v>173</v>
      </c>
      <c r="K164" s="22">
        <v>0.17149560999999999</v>
      </c>
      <c r="L164" s="9"/>
      <c r="M164" s="1">
        <v>106</v>
      </c>
      <c r="N164" s="9" t="s">
        <v>262</v>
      </c>
      <c r="O164" s="22">
        <v>0.30608571000000001</v>
      </c>
      <c r="P164" s="9"/>
      <c r="Q164" s="1">
        <v>106</v>
      </c>
      <c r="R164" s="9" t="s">
        <v>235</v>
      </c>
      <c r="S164" s="26">
        <v>0.24885092</v>
      </c>
      <c r="T164" s="9"/>
      <c r="U164" s="1">
        <v>106</v>
      </c>
      <c r="V164" s="9" t="s">
        <v>212</v>
      </c>
      <c r="W164" s="22">
        <v>2.9585699999999999E-2</v>
      </c>
      <c r="X164" s="9"/>
      <c r="Y164" s="1">
        <v>106</v>
      </c>
      <c r="Z164" s="9" t="s">
        <v>227</v>
      </c>
      <c r="AA164" s="22">
        <v>0.35504788999999998</v>
      </c>
      <c r="AB164" s="9"/>
      <c r="AC164" s="1">
        <v>106</v>
      </c>
      <c r="AD164" s="9" t="s">
        <v>248</v>
      </c>
      <c r="AE164" s="35">
        <v>9.8171869999999994E-2</v>
      </c>
      <c r="AF164" s="9"/>
      <c r="AG164" s="1">
        <v>106</v>
      </c>
      <c r="AH164" s="9" t="s">
        <v>226</v>
      </c>
      <c r="AI164" s="22">
        <v>0.22772276999999999</v>
      </c>
    </row>
    <row r="165" spans="1:35" x14ac:dyDescent="0.2">
      <c r="A165" s="1">
        <v>107</v>
      </c>
      <c r="B165" s="9" t="s">
        <v>170</v>
      </c>
      <c r="C165" s="22">
        <v>0.40096952000000002</v>
      </c>
      <c r="D165" s="9"/>
      <c r="E165" s="1">
        <v>107</v>
      </c>
      <c r="F165" s="9" t="s">
        <v>292</v>
      </c>
      <c r="G165" s="26">
        <v>0.33904959000000001</v>
      </c>
      <c r="H165" s="9"/>
      <c r="I165" s="1">
        <v>107</v>
      </c>
      <c r="J165" s="9" t="s">
        <v>256</v>
      </c>
      <c r="K165" s="22">
        <v>0.17121616000000001</v>
      </c>
      <c r="L165" s="9"/>
      <c r="M165" s="1">
        <v>107</v>
      </c>
      <c r="N165" s="9" t="s">
        <v>200</v>
      </c>
      <c r="O165" s="22">
        <v>0.30499999999999999</v>
      </c>
      <c r="P165" s="9"/>
      <c r="Q165" s="1">
        <v>107</v>
      </c>
      <c r="R165" s="9" t="s">
        <v>242</v>
      </c>
      <c r="S165" s="26">
        <v>0.245945</v>
      </c>
      <c r="T165" s="9"/>
      <c r="U165" s="1">
        <v>107</v>
      </c>
      <c r="V165" s="9" t="s">
        <v>213</v>
      </c>
      <c r="W165" s="22">
        <v>2.9585699999999999E-2</v>
      </c>
      <c r="X165" s="9"/>
      <c r="Y165" s="1">
        <v>107</v>
      </c>
      <c r="Z165" s="9" t="s">
        <v>170</v>
      </c>
      <c r="AA165" s="22">
        <v>0.35394811999999998</v>
      </c>
      <c r="AB165" s="9"/>
      <c r="AC165" s="1">
        <v>107</v>
      </c>
      <c r="AD165" s="9" t="s">
        <v>195</v>
      </c>
      <c r="AE165" s="35">
        <v>9.1167689999999996E-2</v>
      </c>
      <c r="AF165" s="9"/>
      <c r="AG165" s="1">
        <v>107</v>
      </c>
      <c r="AH165" s="9" t="s">
        <v>190</v>
      </c>
      <c r="AI165" s="22">
        <v>0.22277227999999999</v>
      </c>
    </row>
    <row r="166" spans="1:35" x14ac:dyDescent="0.2">
      <c r="A166" s="1">
        <v>108</v>
      </c>
      <c r="B166" s="9" t="s">
        <v>200</v>
      </c>
      <c r="C166" s="22">
        <v>0.40011057999999999</v>
      </c>
      <c r="D166" s="9"/>
      <c r="E166" s="1">
        <v>108</v>
      </c>
      <c r="F166" s="9" t="s">
        <v>248</v>
      </c>
      <c r="G166" s="26">
        <v>0.3274783</v>
      </c>
      <c r="H166" s="9"/>
      <c r="I166" s="1">
        <v>108</v>
      </c>
      <c r="J166" s="9" t="s">
        <v>250</v>
      </c>
      <c r="K166" s="22">
        <v>0.16851150000000001</v>
      </c>
      <c r="L166" s="9"/>
      <c r="M166" s="1">
        <v>108</v>
      </c>
      <c r="N166" s="9" t="s">
        <v>217</v>
      </c>
      <c r="O166" s="22">
        <v>0.30459448</v>
      </c>
      <c r="P166" s="9"/>
      <c r="Q166" s="1">
        <v>108</v>
      </c>
      <c r="R166" s="9" t="s">
        <v>215</v>
      </c>
      <c r="S166" s="26">
        <v>0.24578857000000001</v>
      </c>
      <c r="T166" s="9"/>
      <c r="U166" s="1">
        <v>108</v>
      </c>
      <c r="V166" s="9" t="s">
        <v>263</v>
      </c>
      <c r="W166" s="22">
        <v>2.104866E-2</v>
      </c>
      <c r="X166" s="9"/>
      <c r="Y166" s="1">
        <v>108</v>
      </c>
      <c r="Z166" s="9" t="s">
        <v>200</v>
      </c>
      <c r="AA166" s="22">
        <v>0.34697676999999999</v>
      </c>
      <c r="AB166" s="9"/>
      <c r="AC166" s="1">
        <v>108</v>
      </c>
      <c r="AD166" s="9" t="s">
        <v>133</v>
      </c>
      <c r="AE166" s="35">
        <v>9.0715530000000003E-2</v>
      </c>
      <c r="AF166" s="9"/>
      <c r="AG166" s="1">
        <v>108</v>
      </c>
      <c r="AH166" s="9" t="s">
        <v>165</v>
      </c>
      <c r="AI166" s="22">
        <v>0.21782177999999999</v>
      </c>
    </row>
    <row r="167" spans="1:35" x14ac:dyDescent="0.2">
      <c r="A167" s="1">
        <v>109</v>
      </c>
      <c r="B167" s="9" t="s">
        <v>130</v>
      </c>
      <c r="C167" s="22">
        <v>0.39927302999999997</v>
      </c>
      <c r="D167" s="9"/>
      <c r="E167" s="1">
        <v>109</v>
      </c>
      <c r="F167" s="9" t="s">
        <v>242</v>
      </c>
      <c r="G167" s="26">
        <v>0.32000297999999999</v>
      </c>
      <c r="H167" s="9"/>
      <c r="I167" s="1">
        <v>109</v>
      </c>
      <c r="J167" s="9" t="s">
        <v>212</v>
      </c>
      <c r="K167" s="22">
        <v>0.16792568999999999</v>
      </c>
      <c r="L167" s="9"/>
      <c r="M167" s="1">
        <v>109</v>
      </c>
      <c r="N167" s="9" t="s">
        <v>207</v>
      </c>
      <c r="O167" s="22">
        <v>0.30378918999999999</v>
      </c>
      <c r="P167" s="9"/>
      <c r="Q167" s="1">
        <v>109</v>
      </c>
      <c r="R167" s="9" t="s">
        <v>140</v>
      </c>
      <c r="S167" s="26">
        <v>0.24196229999999999</v>
      </c>
      <c r="T167" s="9"/>
      <c r="U167" s="1">
        <v>109</v>
      </c>
      <c r="V167" s="9" t="s">
        <v>242</v>
      </c>
      <c r="W167" s="22">
        <v>2.104866E-2</v>
      </c>
      <c r="X167" s="9"/>
      <c r="Y167" s="1">
        <v>109</v>
      </c>
      <c r="Z167" s="9" t="s">
        <v>201</v>
      </c>
      <c r="AA167" s="22">
        <v>0.34294501999999999</v>
      </c>
      <c r="AB167" s="9"/>
      <c r="AC167" s="1">
        <v>109</v>
      </c>
      <c r="AD167" s="9" t="s">
        <v>142</v>
      </c>
      <c r="AE167" s="35">
        <v>9.0331480000000006E-2</v>
      </c>
      <c r="AF167" s="9"/>
      <c r="AG167" s="1">
        <v>109</v>
      </c>
      <c r="AH167" s="9" t="s">
        <v>206</v>
      </c>
      <c r="AI167" s="22">
        <v>0.20792078999999999</v>
      </c>
    </row>
    <row r="168" spans="1:35" x14ac:dyDescent="0.2">
      <c r="A168" s="1">
        <v>110</v>
      </c>
      <c r="B168" s="9" t="s">
        <v>221</v>
      </c>
      <c r="C168" s="22">
        <v>0.39609716</v>
      </c>
      <c r="D168" s="9"/>
      <c r="E168" s="1">
        <v>110</v>
      </c>
      <c r="F168" s="9" t="s">
        <v>178</v>
      </c>
      <c r="G168" s="26">
        <v>0.31991195</v>
      </c>
      <c r="H168" s="9"/>
      <c r="I168" s="1">
        <v>110</v>
      </c>
      <c r="J168" s="9" t="s">
        <v>268</v>
      </c>
      <c r="K168" s="22">
        <v>0.166045</v>
      </c>
      <c r="L168" s="9"/>
      <c r="M168" s="1">
        <v>110</v>
      </c>
      <c r="N168" s="9" t="s">
        <v>247</v>
      </c>
      <c r="O168" s="22">
        <v>0.29882657000000001</v>
      </c>
      <c r="P168" s="9"/>
      <c r="Q168" s="1">
        <v>110</v>
      </c>
      <c r="R168" s="9" t="s">
        <v>189</v>
      </c>
      <c r="S168" s="26">
        <v>0.23687923</v>
      </c>
      <c r="T168" s="9"/>
      <c r="U168" s="1">
        <v>110</v>
      </c>
      <c r="V168" s="9" t="s">
        <v>264</v>
      </c>
      <c r="W168" s="22">
        <v>2.104866E-2</v>
      </c>
      <c r="X168" s="9"/>
      <c r="Y168" s="1">
        <v>110</v>
      </c>
      <c r="Z168" s="9" t="s">
        <v>231</v>
      </c>
      <c r="AA168" s="22">
        <v>0.33678165999999998</v>
      </c>
      <c r="AB168" s="9"/>
      <c r="AC168" s="1">
        <v>110</v>
      </c>
      <c r="AD168" s="9" t="s">
        <v>222</v>
      </c>
      <c r="AE168" s="35">
        <v>8.9331279999999999E-2</v>
      </c>
      <c r="AF168" s="9"/>
      <c r="AG168" s="1">
        <v>110</v>
      </c>
      <c r="AH168" s="9" t="s">
        <v>255</v>
      </c>
      <c r="AI168" s="22">
        <v>0.1980198</v>
      </c>
    </row>
    <row r="169" spans="1:35" x14ac:dyDescent="0.2">
      <c r="A169" s="1">
        <v>111</v>
      </c>
      <c r="B169" s="9" t="s">
        <v>202</v>
      </c>
      <c r="C169" s="22">
        <v>0.39402088000000002</v>
      </c>
      <c r="D169" s="9"/>
      <c r="E169" s="1">
        <v>111</v>
      </c>
      <c r="F169" s="9" t="s">
        <v>140</v>
      </c>
      <c r="G169" s="26">
        <v>0.31749098999999997</v>
      </c>
      <c r="H169" s="9"/>
      <c r="I169" s="1">
        <v>111</v>
      </c>
      <c r="J169" s="9" t="s">
        <v>147</v>
      </c>
      <c r="K169" s="22">
        <v>0.16257640000000001</v>
      </c>
      <c r="L169" s="9"/>
      <c r="M169" s="1">
        <v>111</v>
      </c>
      <c r="N169" s="9" t="s">
        <v>249</v>
      </c>
      <c r="O169" s="22">
        <v>0.29743097000000002</v>
      </c>
      <c r="P169" s="9"/>
      <c r="Q169" s="1">
        <v>111</v>
      </c>
      <c r="R169" s="9" t="s">
        <v>197</v>
      </c>
      <c r="S169" s="26">
        <v>0.23462897999999999</v>
      </c>
      <c r="T169" s="9"/>
      <c r="U169" s="1">
        <v>111</v>
      </c>
      <c r="V169" s="9" t="s">
        <v>149</v>
      </c>
      <c r="W169" s="22">
        <v>2.104866E-2</v>
      </c>
      <c r="X169" s="9"/>
      <c r="Y169" s="1">
        <v>111</v>
      </c>
      <c r="Z169" s="9" t="s">
        <v>212</v>
      </c>
      <c r="AA169" s="22">
        <v>0.32981820000000001</v>
      </c>
      <c r="AB169" s="9"/>
      <c r="AC169" s="1">
        <v>111</v>
      </c>
      <c r="AD169" s="9" t="s">
        <v>234</v>
      </c>
      <c r="AE169" s="35">
        <v>8.8995379999999999E-2</v>
      </c>
      <c r="AF169" s="9"/>
      <c r="AG169" s="1">
        <v>111</v>
      </c>
      <c r="AH169" s="9" t="s">
        <v>195</v>
      </c>
      <c r="AI169" s="22">
        <v>0.19306930999999999</v>
      </c>
    </row>
    <row r="170" spans="1:35" x14ac:dyDescent="0.2">
      <c r="A170" s="1">
        <v>112</v>
      </c>
      <c r="B170" s="9" t="s">
        <v>242</v>
      </c>
      <c r="C170" s="22">
        <v>0.38337647000000002</v>
      </c>
      <c r="D170" s="9"/>
      <c r="E170" s="1">
        <v>112</v>
      </c>
      <c r="F170" s="9" t="s">
        <v>159</v>
      </c>
      <c r="G170" s="26">
        <v>0.31657666000000001</v>
      </c>
      <c r="H170" s="9"/>
      <c r="I170" s="1">
        <v>112</v>
      </c>
      <c r="J170" s="9" t="s">
        <v>235</v>
      </c>
      <c r="K170" s="22">
        <v>0.16049318000000001</v>
      </c>
      <c r="L170" s="9"/>
      <c r="M170" s="1">
        <v>112</v>
      </c>
      <c r="N170" s="9" t="s">
        <v>142</v>
      </c>
      <c r="O170" s="22">
        <v>0.29721598999999999</v>
      </c>
      <c r="P170" s="9"/>
      <c r="Q170" s="1">
        <v>112</v>
      </c>
      <c r="R170" s="9" t="s">
        <v>209</v>
      </c>
      <c r="S170" s="26">
        <v>0.23253639000000001</v>
      </c>
      <c r="T170" s="9"/>
      <c r="U170" s="1">
        <v>112</v>
      </c>
      <c r="V170" s="9" t="s">
        <v>174</v>
      </c>
      <c r="W170" s="22">
        <v>1.7624520000000001E-2</v>
      </c>
      <c r="X170" s="9"/>
      <c r="Y170" s="1">
        <v>112</v>
      </c>
      <c r="Z170" s="9" t="s">
        <v>243</v>
      </c>
      <c r="AA170" s="22">
        <v>0.32870142000000002</v>
      </c>
      <c r="AB170" s="9"/>
      <c r="AC170" s="1">
        <v>112</v>
      </c>
      <c r="AD170" s="9" t="s">
        <v>236</v>
      </c>
      <c r="AE170" s="35">
        <v>8.8476849999999996E-2</v>
      </c>
      <c r="AF170" s="9"/>
      <c r="AG170" s="1">
        <v>112</v>
      </c>
      <c r="AH170" s="9" t="s">
        <v>235</v>
      </c>
      <c r="AI170" s="22">
        <v>0.19306930999999999</v>
      </c>
    </row>
    <row r="171" spans="1:35" x14ac:dyDescent="0.2">
      <c r="A171" s="1">
        <v>113</v>
      </c>
      <c r="B171" s="9" t="s">
        <v>180</v>
      </c>
      <c r="C171" s="22">
        <v>0.37944966000000002</v>
      </c>
      <c r="D171" s="9"/>
      <c r="E171" s="1">
        <v>113</v>
      </c>
      <c r="F171" s="9" t="s">
        <v>139</v>
      </c>
      <c r="G171" s="26">
        <v>0.30749564000000001</v>
      </c>
      <c r="H171" s="9"/>
      <c r="I171" s="1">
        <v>113</v>
      </c>
      <c r="J171" s="9" t="s">
        <v>255</v>
      </c>
      <c r="K171" s="22">
        <v>0.15708759999999999</v>
      </c>
      <c r="L171" s="9"/>
      <c r="M171" s="1">
        <v>113</v>
      </c>
      <c r="N171" s="9" t="s">
        <v>236</v>
      </c>
      <c r="O171" s="22">
        <v>0.29541414999999999</v>
      </c>
      <c r="P171" s="9"/>
      <c r="Q171" s="1">
        <v>113</v>
      </c>
      <c r="R171" s="9" t="s">
        <v>213</v>
      </c>
      <c r="S171" s="26">
        <v>0.23240433999999999</v>
      </c>
      <c r="T171" s="9"/>
      <c r="U171" s="1">
        <v>113</v>
      </c>
      <c r="V171" s="9" t="s">
        <v>176</v>
      </c>
      <c r="W171" s="22">
        <v>1.707407E-2</v>
      </c>
      <c r="X171" s="9"/>
      <c r="Y171" s="1">
        <v>113</v>
      </c>
      <c r="Z171" s="9" t="s">
        <v>153</v>
      </c>
      <c r="AA171" s="22">
        <v>0.32545174999999998</v>
      </c>
      <c r="AB171" s="9"/>
      <c r="AC171" s="1">
        <v>113</v>
      </c>
      <c r="AD171" s="9" t="s">
        <v>149</v>
      </c>
      <c r="AE171" s="35">
        <v>8.6835759999999998E-2</v>
      </c>
      <c r="AF171" s="9"/>
      <c r="AG171" s="1">
        <v>113</v>
      </c>
      <c r="AH171" s="9" t="s">
        <v>201</v>
      </c>
      <c r="AI171" s="22">
        <v>0.18811881</v>
      </c>
    </row>
    <row r="172" spans="1:35" x14ac:dyDescent="0.2">
      <c r="A172" s="1">
        <v>114</v>
      </c>
      <c r="B172" s="9" t="s">
        <v>247</v>
      </c>
      <c r="C172" s="22">
        <v>0.37910663999999999</v>
      </c>
      <c r="D172" s="9"/>
      <c r="E172" s="1">
        <v>114</v>
      </c>
      <c r="F172" s="9" t="s">
        <v>218</v>
      </c>
      <c r="G172" s="26">
        <v>0.29954145999999998</v>
      </c>
      <c r="H172" s="9"/>
      <c r="I172" s="1">
        <v>114</v>
      </c>
      <c r="J172" s="9" t="s">
        <v>243</v>
      </c>
      <c r="K172" s="22">
        <v>0.15336582000000001</v>
      </c>
      <c r="L172" s="9"/>
      <c r="M172" s="1">
        <v>114</v>
      </c>
      <c r="N172" s="9" t="s">
        <v>163</v>
      </c>
      <c r="O172" s="22">
        <v>0.29536813000000001</v>
      </c>
      <c r="P172" s="9"/>
      <c r="Q172" s="1">
        <v>114</v>
      </c>
      <c r="R172" s="9" t="s">
        <v>162</v>
      </c>
      <c r="S172" s="26">
        <v>0.22453069</v>
      </c>
      <c r="T172" s="9"/>
      <c r="U172" s="1">
        <v>114</v>
      </c>
      <c r="V172" s="9" t="s">
        <v>150</v>
      </c>
      <c r="W172" s="22">
        <v>1.707407E-2</v>
      </c>
      <c r="X172" s="9"/>
      <c r="Y172" s="1">
        <v>114</v>
      </c>
      <c r="Z172" s="9" t="s">
        <v>171</v>
      </c>
      <c r="AA172" s="22">
        <v>0.31226150000000003</v>
      </c>
      <c r="AB172" s="9"/>
      <c r="AC172" s="1">
        <v>114</v>
      </c>
      <c r="AD172" s="9" t="s">
        <v>153</v>
      </c>
      <c r="AE172" s="35">
        <v>8.5250740000000005E-2</v>
      </c>
      <c r="AF172" s="9"/>
      <c r="AG172" s="1">
        <v>114</v>
      </c>
      <c r="AH172" s="9" t="s">
        <v>233</v>
      </c>
      <c r="AI172" s="22">
        <v>0.18316832</v>
      </c>
    </row>
    <row r="173" spans="1:35" x14ac:dyDescent="0.2">
      <c r="A173" s="1">
        <v>115</v>
      </c>
      <c r="B173" s="9" t="s">
        <v>234</v>
      </c>
      <c r="C173" s="22">
        <v>0.37779932999999999</v>
      </c>
      <c r="D173" s="9"/>
      <c r="E173" s="1">
        <v>115</v>
      </c>
      <c r="F173" s="9" t="s">
        <v>169</v>
      </c>
      <c r="G173" s="26">
        <v>0.28737857999999999</v>
      </c>
      <c r="H173" s="9"/>
      <c r="I173" s="1">
        <v>115</v>
      </c>
      <c r="J173" s="9" t="s">
        <v>219</v>
      </c>
      <c r="K173" s="22">
        <v>0.14778688000000001</v>
      </c>
      <c r="L173" s="9"/>
      <c r="M173" s="1">
        <v>115</v>
      </c>
      <c r="N173" s="9" t="s">
        <v>255</v>
      </c>
      <c r="O173" s="22">
        <v>0.29404514999999998</v>
      </c>
      <c r="P173" s="9"/>
      <c r="Q173" s="1">
        <v>115</v>
      </c>
      <c r="R173" s="9" t="s">
        <v>264</v>
      </c>
      <c r="S173" s="26">
        <v>0.21851666</v>
      </c>
      <c r="T173" s="9"/>
      <c r="U173" s="1">
        <v>115</v>
      </c>
      <c r="V173" s="9" t="s">
        <v>259</v>
      </c>
      <c r="W173" s="22">
        <v>1.2511629999999999E-2</v>
      </c>
      <c r="X173" s="9"/>
      <c r="Y173" s="1">
        <v>115</v>
      </c>
      <c r="Z173" s="9" t="s">
        <v>215</v>
      </c>
      <c r="AA173" s="22">
        <v>0.30687373000000001</v>
      </c>
      <c r="AB173" s="9"/>
      <c r="AC173" s="1">
        <v>115</v>
      </c>
      <c r="AD173" s="9" t="s">
        <v>251</v>
      </c>
      <c r="AE173" s="35">
        <v>8.3983559999999999E-2</v>
      </c>
      <c r="AF173" s="9"/>
      <c r="AG173" s="1">
        <v>115</v>
      </c>
      <c r="AH173" s="9" t="s">
        <v>204</v>
      </c>
      <c r="AI173" s="22">
        <v>0.17821782</v>
      </c>
    </row>
    <row r="174" spans="1:35" x14ac:dyDescent="0.2">
      <c r="A174" s="1">
        <v>116</v>
      </c>
      <c r="B174" s="9" t="s">
        <v>163</v>
      </c>
      <c r="C174" s="22">
        <v>0.37611552999999998</v>
      </c>
      <c r="D174" s="9"/>
      <c r="E174" s="1">
        <v>116</v>
      </c>
      <c r="F174" s="9" t="s">
        <v>234</v>
      </c>
      <c r="G174" s="26">
        <v>0.28362102</v>
      </c>
      <c r="H174" s="9"/>
      <c r="I174" s="1">
        <v>116</v>
      </c>
      <c r="J174" s="9" t="s">
        <v>188</v>
      </c>
      <c r="K174" s="22">
        <v>0.14661395999999999</v>
      </c>
      <c r="L174" s="9"/>
      <c r="M174" s="1">
        <v>116</v>
      </c>
      <c r="N174" s="9" t="s">
        <v>150</v>
      </c>
      <c r="O174" s="22">
        <v>0.29261576</v>
      </c>
      <c r="P174" s="9"/>
      <c r="Q174" s="1">
        <v>116</v>
      </c>
      <c r="R174" s="9" t="s">
        <v>182</v>
      </c>
      <c r="S174" s="26">
        <v>0.21834268000000001</v>
      </c>
      <c r="T174" s="9"/>
      <c r="U174" s="1">
        <v>116</v>
      </c>
      <c r="V174" s="9" t="s">
        <v>243</v>
      </c>
      <c r="W174" s="22">
        <v>1.2511629999999999E-2</v>
      </c>
      <c r="X174" s="9"/>
      <c r="Y174" s="1">
        <v>116</v>
      </c>
      <c r="Z174" s="9" t="s">
        <v>221</v>
      </c>
      <c r="AA174" s="22">
        <v>0.30647095000000002</v>
      </c>
      <c r="AB174" s="9"/>
      <c r="AC174" s="1">
        <v>116</v>
      </c>
      <c r="AD174" s="9" t="s">
        <v>258</v>
      </c>
      <c r="AE174" s="35">
        <v>8.3707429999999999E-2</v>
      </c>
      <c r="AF174" s="9"/>
      <c r="AG174" s="1">
        <v>116</v>
      </c>
      <c r="AH174" s="16" t="s">
        <v>266</v>
      </c>
      <c r="AI174" s="24">
        <v>0.17326733</v>
      </c>
    </row>
    <row r="175" spans="1:35" x14ac:dyDescent="0.2">
      <c r="A175" s="1">
        <v>117</v>
      </c>
      <c r="B175" s="9" t="s">
        <v>171</v>
      </c>
      <c r="C175" s="22">
        <v>0.37514005</v>
      </c>
      <c r="D175" s="9"/>
      <c r="E175" s="1">
        <v>117</v>
      </c>
      <c r="F175" s="9" t="s">
        <v>173</v>
      </c>
      <c r="G175" s="26">
        <v>0.27656213000000002</v>
      </c>
      <c r="H175" s="9"/>
      <c r="I175" s="1">
        <v>117</v>
      </c>
      <c r="J175" s="9" t="s">
        <v>227</v>
      </c>
      <c r="K175" s="22">
        <v>0.14451008000000001</v>
      </c>
      <c r="L175" s="9"/>
      <c r="M175" s="1">
        <v>117</v>
      </c>
      <c r="N175" s="9" t="s">
        <v>172</v>
      </c>
      <c r="O175" s="22">
        <v>0.29091027000000003</v>
      </c>
      <c r="P175" s="9"/>
      <c r="Q175" s="1">
        <v>117</v>
      </c>
      <c r="R175" s="9" t="s">
        <v>118</v>
      </c>
      <c r="S175" s="26">
        <v>0.21078781999999999</v>
      </c>
      <c r="T175" s="9"/>
      <c r="U175" s="1">
        <v>117</v>
      </c>
      <c r="V175" s="9" t="s">
        <v>269</v>
      </c>
      <c r="W175" s="22">
        <v>1.2511629999999999E-2</v>
      </c>
      <c r="X175" s="9"/>
      <c r="Y175" s="1">
        <v>117</v>
      </c>
      <c r="Z175" s="9" t="s">
        <v>157</v>
      </c>
      <c r="AA175" s="22">
        <v>0.30440915000000002</v>
      </c>
      <c r="AB175" s="9"/>
      <c r="AC175" s="1">
        <v>117</v>
      </c>
      <c r="AD175" s="9" t="s">
        <v>255</v>
      </c>
      <c r="AE175" s="35">
        <v>8.3569000000000004E-2</v>
      </c>
      <c r="AF175" s="9"/>
      <c r="AG175" s="1">
        <v>117</v>
      </c>
      <c r="AH175" s="16" t="s">
        <v>207</v>
      </c>
      <c r="AI175" s="24">
        <v>0.16831683</v>
      </c>
    </row>
    <row r="176" spans="1:35" x14ac:dyDescent="0.2">
      <c r="A176" s="1">
        <v>118</v>
      </c>
      <c r="B176" s="9" t="s">
        <v>248</v>
      </c>
      <c r="C176" s="22">
        <v>0.37044126999999999</v>
      </c>
      <c r="D176" s="9"/>
      <c r="E176" s="1">
        <v>118</v>
      </c>
      <c r="F176" s="9" t="s">
        <v>221</v>
      </c>
      <c r="G176" s="26">
        <v>0.27172937000000003</v>
      </c>
      <c r="H176" s="9"/>
      <c r="I176" s="1">
        <v>118</v>
      </c>
      <c r="J176" s="9" t="s">
        <v>221</v>
      </c>
      <c r="K176" s="22">
        <v>0.14371692999999999</v>
      </c>
      <c r="L176" s="9"/>
      <c r="M176" s="1">
        <v>118</v>
      </c>
      <c r="N176" s="9" t="s">
        <v>291</v>
      </c>
      <c r="O176" s="22">
        <v>0.28300977999999999</v>
      </c>
      <c r="P176" s="9"/>
      <c r="Q176" s="1">
        <v>118</v>
      </c>
      <c r="R176" s="9" t="s">
        <v>293</v>
      </c>
      <c r="S176" s="26">
        <v>0.19488783000000001</v>
      </c>
      <c r="T176" s="9"/>
      <c r="U176" s="1">
        <v>118</v>
      </c>
      <c r="V176" s="9" t="s">
        <v>295</v>
      </c>
      <c r="W176" s="22">
        <v>1.2511629999999999E-2</v>
      </c>
      <c r="X176" s="9"/>
      <c r="Y176" s="1">
        <v>118</v>
      </c>
      <c r="Z176" s="9" t="s">
        <v>197</v>
      </c>
      <c r="AA176" s="22">
        <v>0.30219604</v>
      </c>
      <c r="AB176" s="9"/>
      <c r="AC176" s="1">
        <v>118</v>
      </c>
      <c r="AD176" s="9" t="s">
        <v>219</v>
      </c>
      <c r="AE176" s="35">
        <v>8.3541679999999993E-2</v>
      </c>
      <c r="AF176" s="9"/>
      <c r="AG176" s="1">
        <v>118</v>
      </c>
      <c r="AH176" s="16" t="s">
        <v>236</v>
      </c>
      <c r="AI176" s="24">
        <v>0.16336634</v>
      </c>
    </row>
    <row r="177" spans="1:35" x14ac:dyDescent="0.2">
      <c r="A177" s="1">
        <v>119</v>
      </c>
      <c r="B177" s="9" t="s">
        <v>140</v>
      </c>
      <c r="C177" s="22">
        <v>0.36957361</v>
      </c>
      <c r="D177" s="9"/>
      <c r="E177" s="1">
        <v>119</v>
      </c>
      <c r="F177" s="9" t="s">
        <v>168</v>
      </c>
      <c r="G177" s="26">
        <v>0.25882164000000002</v>
      </c>
      <c r="H177" s="9"/>
      <c r="I177" s="1">
        <v>119</v>
      </c>
      <c r="J177" s="9" t="s">
        <v>172</v>
      </c>
      <c r="K177" s="22">
        <v>0.14338349</v>
      </c>
      <c r="L177" s="9"/>
      <c r="M177" s="1">
        <v>119</v>
      </c>
      <c r="N177" s="9" t="s">
        <v>256</v>
      </c>
      <c r="O177" s="22">
        <v>0.28180614999999998</v>
      </c>
      <c r="P177" s="9"/>
      <c r="Q177" s="1">
        <v>119</v>
      </c>
      <c r="R177" s="9" t="s">
        <v>256</v>
      </c>
      <c r="S177" s="26">
        <v>0.18475920000000001</v>
      </c>
      <c r="T177" s="9"/>
      <c r="U177" s="1">
        <v>119</v>
      </c>
      <c r="V177" s="9" t="s">
        <v>197</v>
      </c>
      <c r="W177" s="22">
        <v>1.2511629999999999E-2</v>
      </c>
      <c r="X177" s="9"/>
      <c r="Y177" s="1">
        <v>119</v>
      </c>
      <c r="Z177" s="9" t="s">
        <v>222</v>
      </c>
      <c r="AA177" s="22">
        <v>0.30074971</v>
      </c>
      <c r="AB177" s="9"/>
      <c r="AC177" s="1">
        <v>119</v>
      </c>
      <c r="AD177" s="9" t="s">
        <v>295</v>
      </c>
      <c r="AE177" s="35">
        <v>8.3484160000000002E-2</v>
      </c>
      <c r="AF177" s="9"/>
      <c r="AG177" s="1">
        <v>119</v>
      </c>
      <c r="AH177" s="16" t="s">
        <v>214</v>
      </c>
      <c r="AI177" s="24">
        <v>0.15841584</v>
      </c>
    </row>
    <row r="178" spans="1:35" x14ac:dyDescent="0.2">
      <c r="A178" s="1">
        <v>120</v>
      </c>
      <c r="B178" s="9" t="s">
        <v>128</v>
      </c>
      <c r="C178" s="22">
        <v>0.36935305000000002</v>
      </c>
      <c r="D178" s="9"/>
      <c r="E178" s="1">
        <v>120</v>
      </c>
      <c r="F178" s="9" t="s">
        <v>205</v>
      </c>
      <c r="G178" s="26">
        <v>0.25384366000000003</v>
      </c>
      <c r="H178" s="9"/>
      <c r="I178" s="1">
        <v>120</v>
      </c>
      <c r="J178" s="9" t="s">
        <v>171</v>
      </c>
      <c r="K178" s="22">
        <v>0.1418161</v>
      </c>
      <c r="L178" s="9"/>
      <c r="M178" s="1">
        <v>120</v>
      </c>
      <c r="N178" s="9" t="s">
        <v>128</v>
      </c>
      <c r="O178" s="22">
        <v>0.28012942000000002</v>
      </c>
      <c r="P178" s="9"/>
      <c r="Q178" s="1">
        <v>120</v>
      </c>
      <c r="R178" s="9" t="s">
        <v>168</v>
      </c>
      <c r="S178" s="26">
        <v>0.17789578</v>
      </c>
      <c r="T178" s="9"/>
      <c r="U178" s="1">
        <v>120</v>
      </c>
      <c r="V178" s="9" t="s">
        <v>209</v>
      </c>
      <c r="W178" s="22">
        <v>1.2511629999999999E-2</v>
      </c>
      <c r="X178" s="9"/>
      <c r="Y178" s="1">
        <v>120</v>
      </c>
      <c r="Z178" s="9" t="s">
        <v>224</v>
      </c>
      <c r="AA178" s="22">
        <v>0.29300693999999999</v>
      </c>
      <c r="AB178" s="9"/>
      <c r="AC178" s="1">
        <v>120</v>
      </c>
      <c r="AD178" s="9" t="s">
        <v>209</v>
      </c>
      <c r="AE178" s="35">
        <v>8.3399870000000001E-2</v>
      </c>
      <c r="AF178" s="9"/>
      <c r="AG178" s="1">
        <v>120</v>
      </c>
      <c r="AH178" s="16" t="s">
        <v>176</v>
      </c>
      <c r="AI178" s="24">
        <v>0.15346535</v>
      </c>
    </row>
    <row r="179" spans="1:35" x14ac:dyDescent="0.2">
      <c r="A179" s="1">
        <v>121</v>
      </c>
      <c r="B179" s="9" t="s">
        <v>165</v>
      </c>
      <c r="C179" s="22">
        <v>0.36598370000000002</v>
      </c>
      <c r="D179" s="9"/>
      <c r="E179" s="1">
        <v>121</v>
      </c>
      <c r="F179" s="9" t="s">
        <v>259</v>
      </c>
      <c r="G179" s="26">
        <v>0.25320520000000002</v>
      </c>
      <c r="H179" s="9"/>
      <c r="I179" s="1">
        <v>121</v>
      </c>
      <c r="J179" s="9" t="s">
        <v>237</v>
      </c>
      <c r="K179" s="22">
        <v>0.14082513999999999</v>
      </c>
      <c r="L179" s="9"/>
      <c r="M179" s="1">
        <v>121</v>
      </c>
      <c r="N179" s="9" t="s">
        <v>248</v>
      </c>
      <c r="O179" s="22">
        <v>0.27994535999999998</v>
      </c>
      <c r="P179" s="9"/>
      <c r="Q179" s="1">
        <v>121</v>
      </c>
      <c r="R179" s="16" t="s">
        <v>198</v>
      </c>
      <c r="S179" s="28">
        <v>0.17207232</v>
      </c>
      <c r="T179" s="9"/>
      <c r="U179" s="1">
        <v>121</v>
      </c>
      <c r="V179" s="9" t="s">
        <v>265</v>
      </c>
      <c r="W179" s="22">
        <v>1.2511629999999999E-2</v>
      </c>
      <c r="X179" s="9"/>
      <c r="Y179" s="1">
        <v>121</v>
      </c>
      <c r="Z179" s="9" t="s">
        <v>238</v>
      </c>
      <c r="AA179" s="22">
        <v>0.29023636000000003</v>
      </c>
      <c r="AB179" s="9"/>
      <c r="AC179" s="1">
        <v>121</v>
      </c>
      <c r="AD179" s="9" t="s">
        <v>243</v>
      </c>
      <c r="AE179" s="35">
        <v>8.3336709999999994E-2</v>
      </c>
      <c r="AF179" s="9"/>
      <c r="AG179" s="1">
        <v>121</v>
      </c>
      <c r="AH179" s="16" t="s">
        <v>292</v>
      </c>
      <c r="AI179" s="24">
        <v>0.14356436</v>
      </c>
    </row>
    <row r="180" spans="1:35" x14ac:dyDescent="0.2">
      <c r="A180" s="1">
        <v>122</v>
      </c>
      <c r="B180" s="9" t="s">
        <v>251</v>
      </c>
      <c r="C180" s="22">
        <v>0.36590075</v>
      </c>
      <c r="D180" s="9"/>
      <c r="E180" s="1">
        <v>122</v>
      </c>
      <c r="F180" s="16" t="s">
        <v>212</v>
      </c>
      <c r="G180" s="28">
        <v>0.2335351</v>
      </c>
      <c r="H180" s="9"/>
      <c r="I180" s="1">
        <v>122</v>
      </c>
      <c r="J180" s="9" t="s">
        <v>128</v>
      </c>
      <c r="K180" s="22">
        <v>0.14057807999999999</v>
      </c>
      <c r="L180" s="9"/>
      <c r="M180" s="1">
        <v>122</v>
      </c>
      <c r="N180" s="9" t="s">
        <v>205</v>
      </c>
      <c r="O180" s="22">
        <v>0.27723900000000001</v>
      </c>
      <c r="P180" s="9"/>
      <c r="Q180" s="1">
        <v>122</v>
      </c>
      <c r="R180" s="16" t="s">
        <v>254</v>
      </c>
      <c r="S180" s="28">
        <v>0.16977116</v>
      </c>
      <c r="T180" s="9"/>
      <c r="U180" s="1">
        <v>122</v>
      </c>
      <c r="V180" s="9" t="s">
        <v>216</v>
      </c>
      <c r="W180" s="22">
        <v>1.2511629999999999E-2</v>
      </c>
      <c r="X180" s="9"/>
      <c r="Y180" s="1">
        <v>122</v>
      </c>
      <c r="Z180" s="9" t="s">
        <v>242</v>
      </c>
      <c r="AA180" s="22">
        <v>0.28179638000000001</v>
      </c>
      <c r="AB180" s="9"/>
      <c r="AC180" s="1">
        <v>122</v>
      </c>
      <c r="AD180" s="9" t="s">
        <v>170</v>
      </c>
      <c r="AE180" s="35">
        <v>8.164544E-2</v>
      </c>
      <c r="AF180" s="9"/>
      <c r="AG180" s="1">
        <v>122</v>
      </c>
      <c r="AH180" s="16" t="s">
        <v>210</v>
      </c>
      <c r="AI180" s="24">
        <v>0.13366337</v>
      </c>
    </row>
    <row r="181" spans="1:35" x14ac:dyDescent="0.2">
      <c r="A181" s="1">
        <v>123</v>
      </c>
      <c r="B181" s="9" t="s">
        <v>127</v>
      </c>
      <c r="C181" s="22">
        <v>0.36449163000000001</v>
      </c>
      <c r="D181" s="9"/>
      <c r="E181" s="1">
        <v>123</v>
      </c>
      <c r="F181" s="16" t="s">
        <v>250</v>
      </c>
      <c r="G181" s="28">
        <v>0.22423308</v>
      </c>
      <c r="H181" s="9"/>
      <c r="I181" s="1">
        <v>123</v>
      </c>
      <c r="J181" s="16" t="s">
        <v>163</v>
      </c>
      <c r="K181" s="24">
        <v>0.13890145000000001</v>
      </c>
      <c r="L181" s="9"/>
      <c r="M181" s="1">
        <v>123</v>
      </c>
      <c r="N181" s="9" t="s">
        <v>258</v>
      </c>
      <c r="O181" s="22">
        <v>0.27552918999999998</v>
      </c>
      <c r="P181" s="9"/>
      <c r="Q181" s="1">
        <v>123</v>
      </c>
      <c r="R181" s="16" t="s">
        <v>265</v>
      </c>
      <c r="S181" s="28">
        <v>0.16634529000000001</v>
      </c>
      <c r="T181" s="9"/>
      <c r="U181" s="1">
        <v>123</v>
      </c>
      <c r="V181" s="9" t="s">
        <v>207</v>
      </c>
      <c r="W181" s="22">
        <v>1.2511629999999999E-2</v>
      </c>
      <c r="X181" s="9"/>
      <c r="Y181" s="1">
        <v>123</v>
      </c>
      <c r="Z181" s="9" t="s">
        <v>149</v>
      </c>
      <c r="AA181" s="22">
        <v>0.28042328</v>
      </c>
      <c r="AB181" s="9"/>
      <c r="AC181" s="1">
        <v>123</v>
      </c>
      <c r="AD181" s="9" t="s">
        <v>201</v>
      </c>
      <c r="AE181" s="35">
        <v>7.5808089999999995E-2</v>
      </c>
      <c r="AF181" s="9"/>
      <c r="AG181" s="1">
        <v>123</v>
      </c>
      <c r="AH181" s="16" t="s">
        <v>234</v>
      </c>
      <c r="AI181" s="24">
        <v>0.12871287000000001</v>
      </c>
    </row>
    <row r="182" spans="1:35" x14ac:dyDescent="0.2">
      <c r="A182" s="1">
        <v>124</v>
      </c>
      <c r="B182" s="16" t="s">
        <v>107</v>
      </c>
      <c r="C182" s="24">
        <v>0.35355932000000001</v>
      </c>
      <c r="D182" s="9"/>
      <c r="E182" s="1">
        <v>124</v>
      </c>
      <c r="F182" s="16" t="s">
        <v>251</v>
      </c>
      <c r="G182" s="28">
        <v>0.21588166</v>
      </c>
      <c r="H182" s="9"/>
      <c r="I182" s="1">
        <v>124</v>
      </c>
      <c r="J182" s="16" t="s">
        <v>153</v>
      </c>
      <c r="K182" s="24">
        <v>0.13887432</v>
      </c>
      <c r="L182" s="9"/>
      <c r="M182" s="1">
        <v>124</v>
      </c>
      <c r="N182" s="9" t="s">
        <v>268</v>
      </c>
      <c r="O182" s="22">
        <v>0.27509060000000002</v>
      </c>
      <c r="P182" s="9"/>
      <c r="Q182" s="1">
        <v>124</v>
      </c>
      <c r="R182" s="16" t="s">
        <v>218</v>
      </c>
      <c r="S182" s="28">
        <v>0.15686412</v>
      </c>
      <c r="T182" s="9"/>
      <c r="U182" s="1">
        <v>124</v>
      </c>
      <c r="V182" s="9" t="s">
        <v>234</v>
      </c>
      <c r="W182" s="22">
        <v>1.2511629999999999E-2</v>
      </c>
      <c r="X182" s="9"/>
      <c r="Y182" s="1">
        <v>124</v>
      </c>
      <c r="Z182" s="16" t="s">
        <v>230</v>
      </c>
      <c r="AA182" s="24">
        <v>0.26984127000000002</v>
      </c>
      <c r="AB182" s="9"/>
      <c r="AC182" s="1">
        <v>124</v>
      </c>
      <c r="AD182" s="9" t="s">
        <v>296</v>
      </c>
      <c r="AE182" s="35">
        <v>7.5206469999999997E-2</v>
      </c>
      <c r="AF182" s="9"/>
      <c r="AG182" s="1">
        <v>124</v>
      </c>
      <c r="AH182" s="16" t="s">
        <v>258</v>
      </c>
      <c r="AI182" s="24">
        <v>0.12376238000000001</v>
      </c>
    </row>
    <row r="183" spans="1:35" x14ac:dyDescent="0.2">
      <c r="A183" s="1">
        <v>125</v>
      </c>
      <c r="B183" s="16" t="s">
        <v>236</v>
      </c>
      <c r="C183" s="24">
        <v>0.34972502999999999</v>
      </c>
      <c r="D183" s="9"/>
      <c r="E183" s="1">
        <v>125</v>
      </c>
      <c r="F183" s="16" t="s">
        <v>256</v>
      </c>
      <c r="G183" s="28">
        <v>0.20057787999999999</v>
      </c>
      <c r="H183" s="9"/>
      <c r="I183" s="1">
        <v>125</v>
      </c>
      <c r="J183" s="16" t="s">
        <v>248</v>
      </c>
      <c r="K183" s="24">
        <v>0.13630216000000001</v>
      </c>
      <c r="L183" s="9"/>
      <c r="M183" s="1">
        <v>125</v>
      </c>
      <c r="N183" s="16" t="s">
        <v>223</v>
      </c>
      <c r="O183" s="24">
        <v>0.27217428999999999</v>
      </c>
      <c r="P183" s="9"/>
      <c r="Q183" s="1">
        <v>125</v>
      </c>
      <c r="R183" s="16" t="s">
        <v>149</v>
      </c>
      <c r="S183" s="28">
        <v>0.14757503</v>
      </c>
      <c r="T183" s="9"/>
      <c r="U183" s="1">
        <v>125</v>
      </c>
      <c r="V183" s="9" t="s">
        <v>226</v>
      </c>
      <c r="W183" s="22">
        <v>1.2511629999999999E-2</v>
      </c>
      <c r="X183" s="9"/>
      <c r="Y183" s="1">
        <v>125</v>
      </c>
      <c r="Z183" s="16" t="s">
        <v>176</v>
      </c>
      <c r="AA183" s="24">
        <v>0.25573497000000001</v>
      </c>
      <c r="AB183" s="9"/>
      <c r="AC183" s="1">
        <v>125</v>
      </c>
      <c r="AD183" s="9" t="s">
        <v>250</v>
      </c>
      <c r="AE183" s="35">
        <v>7.5202389999999994E-2</v>
      </c>
      <c r="AF183" s="9"/>
      <c r="AG183" s="1">
        <v>125</v>
      </c>
      <c r="AH183" s="16" t="s">
        <v>169</v>
      </c>
      <c r="AI183" s="24">
        <v>0.11881187999999999</v>
      </c>
    </row>
    <row r="184" spans="1:35" x14ac:dyDescent="0.2">
      <c r="A184" s="1">
        <v>126</v>
      </c>
      <c r="B184" s="16" t="s">
        <v>209</v>
      </c>
      <c r="C184" s="24">
        <v>0.34840893000000001</v>
      </c>
      <c r="D184" s="9"/>
      <c r="E184" s="1">
        <v>126</v>
      </c>
      <c r="F184" s="16" t="s">
        <v>253</v>
      </c>
      <c r="G184" s="28">
        <v>0.19740094999999999</v>
      </c>
      <c r="H184" s="9"/>
      <c r="I184" s="1">
        <v>126</v>
      </c>
      <c r="J184" s="16" t="s">
        <v>217</v>
      </c>
      <c r="K184" s="24">
        <v>0.13558535999999999</v>
      </c>
      <c r="L184" s="9"/>
      <c r="M184" s="1">
        <v>126</v>
      </c>
      <c r="N184" s="16" t="s">
        <v>188</v>
      </c>
      <c r="O184" s="24">
        <v>0.26522146000000002</v>
      </c>
      <c r="P184" s="9"/>
      <c r="Q184" s="1">
        <v>126</v>
      </c>
      <c r="R184" s="16" t="s">
        <v>123</v>
      </c>
      <c r="S184" s="28">
        <v>0.14222502000000001</v>
      </c>
      <c r="T184" s="9"/>
      <c r="U184" s="1">
        <v>126</v>
      </c>
      <c r="V184" s="9" t="s">
        <v>195</v>
      </c>
      <c r="W184" s="22">
        <v>1.2511629999999999E-2</v>
      </c>
      <c r="X184" s="9"/>
      <c r="Y184" s="1">
        <v>126</v>
      </c>
      <c r="Z184" s="16" t="s">
        <v>247</v>
      </c>
      <c r="AA184" s="24">
        <v>0.2490251</v>
      </c>
      <c r="AB184" s="9"/>
      <c r="AC184" s="1">
        <v>126</v>
      </c>
      <c r="AD184" s="9" t="s">
        <v>238</v>
      </c>
      <c r="AE184" s="35">
        <v>7.510733E-2</v>
      </c>
      <c r="AF184" s="9"/>
      <c r="AG184" s="1">
        <v>126</v>
      </c>
      <c r="AH184" s="16" t="s">
        <v>218</v>
      </c>
      <c r="AI184" s="24">
        <v>0.11386139000000001</v>
      </c>
    </row>
    <row r="185" spans="1:35" x14ac:dyDescent="0.2">
      <c r="A185" s="1">
        <v>127</v>
      </c>
      <c r="B185" s="16" t="s">
        <v>213</v>
      </c>
      <c r="C185" s="24">
        <v>0.34495782000000003</v>
      </c>
      <c r="D185" s="9"/>
      <c r="E185" s="1">
        <v>127</v>
      </c>
      <c r="F185" s="16" t="s">
        <v>197</v>
      </c>
      <c r="G185" s="28">
        <v>0.18019035999999999</v>
      </c>
      <c r="H185" s="9"/>
      <c r="I185" s="1">
        <v>127</v>
      </c>
      <c r="J185" s="16" t="s">
        <v>264</v>
      </c>
      <c r="K185" s="24">
        <v>0.12910002000000001</v>
      </c>
      <c r="L185" s="9"/>
      <c r="M185" s="1">
        <v>127</v>
      </c>
      <c r="N185" s="16" t="s">
        <v>295</v>
      </c>
      <c r="O185" s="24">
        <v>0.26412280999999999</v>
      </c>
      <c r="P185" s="9"/>
      <c r="Q185" s="1">
        <v>127</v>
      </c>
      <c r="R185" s="16" t="s">
        <v>222</v>
      </c>
      <c r="S185" s="28">
        <v>0.13971151000000001</v>
      </c>
      <c r="T185" s="9"/>
      <c r="U185" s="1">
        <v>127</v>
      </c>
      <c r="V185" s="16" t="s">
        <v>153</v>
      </c>
      <c r="W185" s="24">
        <v>8.5370399999999992E-3</v>
      </c>
      <c r="X185" s="9"/>
      <c r="Y185" s="1">
        <v>127</v>
      </c>
      <c r="Z185" s="16" t="s">
        <v>270</v>
      </c>
      <c r="AA185" s="24">
        <v>0.24348236000000001</v>
      </c>
      <c r="AB185" s="9"/>
      <c r="AC185" s="1">
        <v>127</v>
      </c>
      <c r="AD185" s="9" t="s">
        <v>239</v>
      </c>
      <c r="AE185" s="35">
        <v>7.269428E-2</v>
      </c>
      <c r="AF185" s="9"/>
      <c r="AG185" s="1">
        <v>127</v>
      </c>
      <c r="AH185" s="16" t="s">
        <v>293</v>
      </c>
      <c r="AI185" s="24">
        <v>0.10891089</v>
      </c>
    </row>
    <row r="186" spans="1:35" x14ac:dyDescent="0.2">
      <c r="A186" s="1">
        <v>128</v>
      </c>
      <c r="B186" s="16" t="s">
        <v>243</v>
      </c>
      <c r="C186" s="24">
        <v>0.34307524</v>
      </c>
      <c r="D186" s="9"/>
      <c r="E186" s="1">
        <v>128</v>
      </c>
      <c r="F186" s="16" t="s">
        <v>157</v>
      </c>
      <c r="G186" s="28">
        <v>0.17827396000000001</v>
      </c>
      <c r="H186" s="9"/>
      <c r="I186" s="1">
        <v>128</v>
      </c>
      <c r="J186" s="16" t="s">
        <v>234</v>
      </c>
      <c r="K186" s="24">
        <v>0.12846904000000001</v>
      </c>
      <c r="L186" s="9"/>
      <c r="M186" s="1">
        <v>128</v>
      </c>
      <c r="N186" s="16" t="s">
        <v>152</v>
      </c>
      <c r="O186" s="24">
        <v>0.25859504999999999</v>
      </c>
      <c r="P186" s="9"/>
      <c r="Q186" s="1">
        <v>128</v>
      </c>
      <c r="R186" s="16" t="s">
        <v>247</v>
      </c>
      <c r="S186" s="28">
        <v>0.12828932000000001</v>
      </c>
      <c r="T186" s="9"/>
      <c r="U186" s="1">
        <v>128</v>
      </c>
      <c r="V186" s="16" t="s">
        <v>210</v>
      </c>
      <c r="W186" s="24">
        <v>8.5370399999999992E-3</v>
      </c>
      <c r="X186" s="9"/>
      <c r="Y186" s="1">
        <v>128</v>
      </c>
      <c r="Z186" s="16" t="s">
        <v>210</v>
      </c>
      <c r="AA186" s="24">
        <v>0.23809524000000001</v>
      </c>
      <c r="AB186" s="9"/>
      <c r="AC186" s="1">
        <v>128</v>
      </c>
      <c r="AD186" s="9" t="s">
        <v>270</v>
      </c>
      <c r="AE186" s="35">
        <v>7.2176580000000004E-2</v>
      </c>
      <c r="AF186" s="9"/>
      <c r="AG186" s="1">
        <v>128</v>
      </c>
      <c r="AH186" s="16" t="s">
        <v>265</v>
      </c>
      <c r="AI186" s="24">
        <v>0.10396039999999999</v>
      </c>
    </row>
    <row r="187" spans="1:35" x14ac:dyDescent="0.2">
      <c r="A187" s="1">
        <v>129</v>
      </c>
      <c r="B187" s="16" t="s">
        <v>267</v>
      </c>
      <c r="C187" s="24">
        <v>0.34272575</v>
      </c>
      <c r="D187" s="9"/>
      <c r="E187" s="1">
        <v>129</v>
      </c>
      <c r="F187" s="16" t="s">
        <v>196</v>
      </c>
      <c r="G187" s="28">
        <v>0.17125154000000001</v>
      </c>
      <c r="H187" s="9"/>
      <c r="I187" s="1">
        <v>129</v>
      </c>
      <c r="J187" s="16" t="s">
        <v>205</v>
      </c>
      <c r="K187" s="24">
        <v>0.12303747</v>
      </c>
      <c r="L187" s="9"/>
      <c r="M187" s="1">
        <v>129</v>
      </c>
      <c r="N187" s="16" t="s">
        <v>157</v>
      </c>
      <c r="O187" s="24">
        <v>0.25288323000000001</v>
      </c>
      <c r="P187" s="9"/>
      <c r="Q187" s="1">
        <v>129</v>
      </c>
      <c r="R187" s="16" t="s">
        <v>170</v>
      </c>
      <c r="S187" s="28">
        <v>0.12808786</v>
      </c>
      <c r="T187" s="9"/>
      <c r="U187" s="1">
        <v>129</v>
      </c>
      <c r="V187" s="16" t="s">
        <v>270</v>
      </c>
      <c r="W187" s="24">
        <v>8.5370399999999992E-3</v>
      </c>
      <c r="X187" s="9"/>
      <c r="Y187" s="1">
        <v>129</v>
      </c>
      <c r="Z187" s="16" t="s">
        <v>265</v>
      </c>
      <c r="AA187" s="24">
        <v>0.23574724</v>
      </c>
      <c r="AB187" s="9"/>
      <c r="AC187" s="1">
        <v>129</v>
      </c>
      <c r="AD187" s="16" t="s">
        <v>247</v>
      </c>
      <c r="AE187" s="37">
        <v>7.0569080000000006E-2</v>
      </c>
      <c r="AF187" s="9"/>
      <c r="AG187" s="1">
        <v>129</v>
      </c>
      <c r="AH187" s="16" t="s">
        <v>248</v>
      </c>
      <c r="AI187" s="24">
        <v>9.9009899999999998E-2</v>
      </c>
    </row>
    <row r="188" spans="1:35" x14ac:dyDescent="0.2">
      <c r="A188" s="1">
        <v>130</v>
      </c>
      <c r="B188" s="16" t="s">
        <v>219</v>
      </c>
      <c r="C188" s="24">
        <v>0.34081761999999999</v>
      </c>
      <c r="D188" s="9"/>
      <c r="E188" s="1">
        <v>130</v>
      </c>
      <c r="F188" s="16" t="s">
        <v>209</v>
      </c>
      <c r="G188" s="28">
        <v>0.16074239000000001</v>
      </c>
      <c r="H188" s="9"/>
      <c r="I188" s="1">
        <v>130</v>
      </c>
      <c r="J188" s="16" t="s">
        <v>296</v>
      </c>
      <c r="K188" s="24">
        <v>0.12242398</v>
      </c>
      <c r="L188" s="9"/>
      <c r="M188" s="1">
        <v>130</v>
      </c>
      <c r="N188" s="16" t="s">
        <v>221</v>
      </c>
      <c r="O188" s="24">
        <v>0.25246763999999999</v>
      </c>
      <c r="P188" s="9"/>
      <c r="Q188" s="1">
        <v>130</v>
      </c>
      <c r="R188" s="16" t="s">
        <v>296</v>
      </c>
      <c r="S188" s="28">
        <v>0.12073755</v>
      </c>
      <c r="T188" s="9"/>
      <c r="U188" s="1">
        <v>130</v>
      </c>
      <c r="V188" s="16" t="s">
        <v>230</v>
      </c>
      <c r="W188" s="24">
        <v>8.5370399999999992E-3</v>
      </c>
      <c r="X188" s="9"/>
      <c r="Y188" s="1">
        <v>130</v>
      </c>
      <c r="Z188" s="16" t="s">
        <v>214</v>
      </c>
      <c r="AA188" s="24">
        <v>0.23492337999999999</v>
      </c>
      <c r="AB188" s="9"/>
      <c r="AC188" s="1">
        <v>130</v>
      </c>
      <c r="AD188" s="16" t="s">
        <v>267</v>
      </c>
      <c r="AE188" s="37">
        <v>7.0160700000000006E-2</v>
      </c>
      <c r="AF188" s="9"/>
      <c r="AG188" s="1">
        <v>130</v>
      </c>
      <c r="AH188" s="16" t="s">
        <v>238</v>
      </c>
      <c r="AI188" s="24">
        <v>9.4059409999999996E-2</v>
      </c>
    </row>
    <row r="189" spans="1:35" x14ac:dyDescent="0.2">
      <c r="A189" s="1">
        <v>131</v>
      </c>
      <c r="B189" s="16" t="s">
        <v>212</v>
      </c>
      <c r="C189" s="24">
        <v>0.33569209999999999</v>
      </c>
      <c r="D189" s="9"/>
      <c r="E189" s="1">
        <v>131</v>
      </c>
      <c r="F189" s="16" t="s">
        <v>203</v>
      </c>
      <c r="G189" s="28">
        <v>0.15524676000000001</v>
      </c>
      <c r="H189" s="9"/>
      <c r="I189" s="1">
        <v>131</v>
      </c>
      <c r="J189" s="16" t="s">
        <v>236</v>
      </c>
      <c r="K189" s="24">
        <v>0.12151793</v>
      </c>
      <c r="L189" s="9"/>
      <c r="M189" s="1">
        <v>131</v>
      </c>
      <c r="N189" s="16" t="s">
        <v>267</v>
      </c>
      <c r="O189" s="24">
        <v>0.23958873</v>
      </c>
      <c r="P189" s="9"/>
      <c r="Q189" s="1">
        <v>131</v>
      </c>
      <c r="R189" s="16" t="s">
        <v>267</v>
      </c>
      <c r="S189" s="28">
        <v>0.11500413</v>
      </c>
      <c r="T189" s="9"/>
      <c r="U189" s="1">
        <v>131</v>
      </c>
      <c r="V189" s="16" t="s">
        <v>204</v>
      </c>
      <c r="W189" s="24">
        <v>8.5370399999999992E-3</v>
      </c>
      <c r="X189" s="9"/>
      <c r="Y189" s="1">
        <v>131</v>
      </c>
      <c r="Z189" s="16" t="s">
        <v>264</v>
      </c>
      <c r="AA189" s="24">
        <v>0.22373720999999999</v>
      </c>
      <c r="AB189" s="9"/>
      <c r="AC189" s="1">
        <v>131</v>
      </c>
      <c r="AD189" s="16" t="s">
        <v>292</v>
      </c>
      <c r="AE189" s="37">
        <v>6.9307999999999995E-2</v>
      </c>
      <c r="AF189" s="9"/>
      <c r="AG189" s="1">
        <v>131</v>
      </c>
      <c r="AH189" s="16" t="s">
        <v>243</v>
      </c>
      <c r="AI189" s="24">
        <v>8.910891E-2</v>
      </c>
    </row>
    <row r="190" spans="1:35" x14ac:dyDescent="0.2">
      <c r="A190" s="1">
        <v>132</v>
      </c>
      <c r="B190" s="16" t="s">
        <v>250</v>
      </c>
      <c r="C190" s="24">
        <v>0.32875838000000002</v>
      </c>
      <c r="D190" s="9"/>
      <c r="E190" s="1">
        <v>132</v>
      </c>
      <c r="F190" s="16" t="s">
        <v>270</v>
      </c>
      <c r="G190" s="28">
        <v>0.15157809999999999</v>
      </c>
      <c r="H190" s="9"/>
      <c r="I190" s="1">
        <v>132</v>
      </c>
      <c r="J190" s="16" t="s">
        <v>263</v>
      </c>
      <c r="K190" s="24">
        <v>0.11879273999999999</v>
      </c>
      <c r="L190" s="9"/>
      <c r="M190" s="1">
        <v>132</v>
      </c>
      <c r="N190" s="16" t="s">
        <v>235</v>
      </c>
      <c r="O190" s="24">
        <v>0.23660843000000001</v>
      </c>
      <c r="P190" s="9"/>
      <c r="Q190" s="1">
        <v>132</v>
      </c>
      <c r="R190" s="16" t="s">
        <v>249</v>
      </c>
      <c r="S190" s="28">
        <v>9.1850989999999993E-2</v>
      </c>
      <c r="T190" s="9"/>
      <c r="U190" s="1">
        <v>132</v>
      </c>
      <c r="V190" s="16" t="s">
        <v>255</v>
      </c>
      <c r="W190" s="24">
        <v>8.5370399999999992E-3</v>
      </c>
      <c r="X190" s="9"/>
      <c r="Y190" s="1">
        <v>132</v>
      </c>
      <c r="Z190" s="16" t="s">
        <v>239</v>
      </c>
      <c r="AA190" s="24">
        <v>0.22205744999999999</v>
      </c>
      <c r="AB190" s="9"/>
      <c r="AC190" s="1">
        <v>132</v>
      </c>
      <c r="AD190" s="16" t="s">
        <v>249</v>
      </c>
      <c r="AE190" s="37">
        <v>6.9215769999999996E-2</v>
      </c>
      <c r="AF190" s="9"/>
      <c r="AG190" s="1">
        <v>132</v>
      </c>
      <c r="AH190" s="16" t="s">
        <v>199</v>
      </c>
      <c r="AI190" s="24">
        <v>8.4158419999999998E-2</v>
      </c>
    </row>
    <row r="191" spans="1:35" x14ac:dyDescent="0.2">
      <c r="A191" s="1">
        <v>133</v>
      </c>
      <c r="B191" s="16" t="s">
        <v>157</v>
      </c>
      <c r="C191" s="24">
        <v>0.32443643</v>
      </c>
      <c r="D191" s="9"/>
      <c r="E191" s="1">
        <v>133</v>
      </c>
      <c r="F191" s="16" t="s">
        <v>268</v>
      </c>
      <c r="G191" s="28">
        <v>0.14300822999999999</v>
      </c>
      <c r="H191" s="9"/>
      <c r="I191" s="1">
        <v>133</v>
      </c>
      <c r="J191" s="16" t="s">
        <v>242</v>
      </c>
      <c r="K191" s="24">
        <v>0.11866575</v>
      </c>
      <c r="L191" s="9"/>
      <c r="M191" s="1">
        <v>133</v>
      </c>
      <c r="N191" s="16" t="s">
        <v>251</v>
      </c>
      <c r="O191" s="24">
        <v>0.23046159999999999</v>
      </c>
      <c r="P191" s="9"/>
      <c r="Q191" s="1">
        <v>133</v>
      </c>
      <c r="R191" s="16" t="s">
        <v>131</v>
      </c>
      <c r="S191" s="28">
        <v>8.6028660000000007E-2</v>
      </c>
      <c r="T191" s="9"/>
      <c r="U191" s="1">
        <v>133</v>
      </c>
      <c r="V191" s="16" t="s">
        <v>252</v>
      </c>
      <c r="W191" s="24">
        <v>8.5370399999999992E-3</v>
      </c>
      <c r="X191" s="9"/>
      <c r="Y191" s="1">
        <v>133</v>
      </c>
      <c r="Z191" s="16" t="s">
        <v>259</v>
      </c>
      <c r="AA191" s="24">
        <v>0.21763150000000001</v>
      </c>
      <c r="AB191" s="9"/>
      <c r="AC191" s="1">
        <v>133</v>
      </c>
      <c r="AD191" s="16" t="s">
        <v>150</v>
      </c>
      <c r="AE191" s="37">
        <v>6.5659330000000002E-2</v>
      </c>
      <c r="AF191" s="9"/>
      <c r="AG191" s="1">
        <v>133</v>
      </c>
      <c r="AH191" s="16" t="s">
        <v>215</v>
      </c>
      <c r="AI191" s="24">
        <v>7.9207920000000001E-2</v>
      </c>
    </row>
    <row r="192" spans="1:35" x14ac:dyDescent="0.2">
      <c r="A192" s="1">
        <v>134</v>
      </c>
      <c r="B192" s="16" t="s">
        <v>214</v>
      </c>
      <c r="C192" s="24">
        <v>0.31555917</v>
      </c>
      <c r="D192" s="9"/>
      <c r="E192" s="1">
        <v>134</v>
      </c>
      <c r="F192" s="16" t="s">
        <v>219</v>
      </c>
      <c r="G192" s="28">
        <v>0.14015358</v>
      </c>
      <c r="H192" s="9"/>
      <c r="I192" s="1">
        <v>134</v>
      </c>
      <c r="J192" s="16" t="s">
        <v>169</v>
      </c>
      <c r="K192" s="24">
        <v>0.11048474</v>
      </c>
      <c r="L192" s="9"/>
      <c r="M192" s="1">
        <v>134</v>
      </c>
      <c r="N192" s="16" t="s">
        <v>259</v>
      </c>
      <c r="O192" s="24">
        <v>0.22614179000000001</v>
      </c>
      <c r="P192" s="9"/>
      <c r="Q192" s="1">
        <v>134</v>
      </c>
      <c r="R192" s="16" t="s">
        <v>221</v>
      </c>
      <c r="S192" s="28">
        <v>8.0219840000000001E-2</v>
      </c>
      <c r="T192" s="9"/>
      <c r="U192" s="1">
        <v>134</v>
      </c>
      <c r="V192" s="16" t="s">
        <v>251</v>
      </c>
      <c r="W192" s="24">
        <v>8.5370399999999992E-3</v>
      </c>
      <c r="X192" s="9"/>
      <c r="Y192" s="1">
        <v>134</v>
      </c>
      <c r="Z192" s="16" t="s">
        <v>295</v>
      </c>
      <c r="AA192" s="24">
        <v>0.20796489000000001</v>
      </c>
      <c r="AB192" s="9"/>
      <c r="AC192" s="1">
        <v>134</v>
      </c>
      <c r="AD192" s="16" t="s">
        <v>157</v>
      </c>
      <c r="AE192" s="37">
        <v>6.511525E-2</v>
      </c>
      <c r="AF192" s="9"/>
      <c r="AG192" s="1">
        <v>134</v>
      </c>
      <c r="AH192" s="16" t="s">
        <v>153</v>
      </c>
      <c r="AI192" s="24">
        <v>7.4257429999999999E-2</v>
      </c>
    </row>
    <row r="193" spans="1:35" x14ac:dyDescent="0.2">
      <c r="A193" s="1">
        <v>135</v>
      </c>
      <c r="B193" s="16" t="s">
        <v>204</v>
      </c>
      <c r="C193" s="24">
        <v>0.31449901000000002</v>
      </c>
      <c r="D193" s="9"/>
      <c r="E193" s="1">
        <v>135</v>
      </c>
      <c r="F193" s="16" t="s">
        <v>211</v>
      </c>
      <c r="G193" s="28">
        <v>0.12649732</v>
      </c>
      <c r="H193" s="9"/>
      <c r="I193" s="1">
        <v>135</v>
      </c>
      <c r="J193" s="16" t="s">
        <v>165</v>
      </c>
      <c r="K193" s="24">
        <v>0.10544646000000001</v>
      </c>
      <c r="L193" s="9"/>
      <c r="M193" s="1">
        <v>135</v>
      </c>
      <c r="N193" s="16" t="s">
        <v>218</v>
      </c>
      <c r="O193" s="24">
        <v>0.22382514000000001</v>
      </c>
      <c r="P193" s="9"/>
      <c r="Q193" s="1">
        <v>135</v>
      </c>
      <c r="R193" s="16" t="s">
        <v>262</v>
      </c>
      <c r="S193" s="28">
        <v>7.6104820000000004E-2</v>
      </c>
      <c r="T193" s="9"/>
      <c r="U193" s="1">
        <v>135</v>
      </c>
      <c r="V193" s="16" t="s">
        <v>248</v>
      </c>
      <c r="W193" s="33">
        <v>0</v>
      </c>
      <c r="X193" s="9"/>
      <c r="Y193" s="1">
        <v>135</v>
      </c>
      <c r="Z193" s="16" t="s">
        <v>252</v>
      </c>
      <c r="AA193" s="24">
        <v>0.1957672</v>
      </c>
      <c r="AB193" s="9"/>
      <c r="AC193" s="1">
        <v>135</v>
      </c>
      <c r="AD193" s="16" t="s">
        <v>269</v>
      </c>
      <c r="AE193" s="37">
        <v>6.2538940000000001E-2</v>
      </c>
      <c r="AF193" s="9"/>
      <c r="AG193" s="1">
        <v>135</v>
      </c>
      <c r="AH193" s="16" t="s">
        <v>170</v>
      </c>
      <c r="AI193" s="24">
        <v>7.4257429999999999E-2</v>
      </c>
    </row>
    <row r="194" spans="1:35" x14ac:dyDescent="0.2">
      <c r="A194" s="1">
        <v>136</v>
      </c>
      <c r="B194" s="16" t="s">
        <v>196</v>
      </c>
      <c r="C194" s="24">
        <v>0.30990815999999999</v>
      </c>
      <c r="D194" s="9"/>
      <c r="E194" s="1">
        <v>136</v>
      </c>
      <c r="F194" s="16" t="s">
        <v>295</v>
      </c>
      <c r="G194" s="28">
        <v>0.11411824</v>
      </c>
      <c r="H194" s="9"/>
      <c r="I194" s="1">
        <v>136</v>
      </c>
      <c r="J194" s="16" t="s">
        <v>125</v>
      </c>
      <c r="K194" s="24">
        <v>0.10493368</v>
      </c>
      <c r="L194" s="9"/>
      <c r="M194" s="1">
        <v>136</v>
      </c>
      <c r="N194" s="16" t="s">
        <v>212</v>
      </c>
      <c r="O194" s="24">
        <v>0.21819241</v>
      </c>
      <c r="P194" s="9"/>
      <c r="Q194" s="1">
        <v>136</v>
      </c>
      <c r="R194" s="16" t="s">
        <v>268</v>
      </c>
      <c r="S194" s="28">
        <v>7.3239799999999994E-2</v>
      </c>
      <c r="T194" s="9"/>
      <c r="U194" s="1">
        <v>136</v>
      </c>
      <c r="V194" s="16" t="s">
        <v>206</v>
      </c>
      <c r="W194" s="33">
        <v>0</v>
      </c>
      <c r="X194" s="9"/>
      <c r="Y194" s="1">
        <v>136</v>
      </c>
      <c r="Z194" s="16" t="s">
        <v>248</v>
      </c>
      <c r="AA194" s="24">
        <v>0.18938687000000001</v>
      </c>
      <c r="AB194" s="9"/>
      <c r="AC194" s="1">
        <v>136</v>
      </c>
      <c r="AD194" s="16" t="s">
        <v>214</v>
      </c>
      <c r="AE194" s="37">
        <v>6.2504950000000004E-2</v>
      </c>
      <c r="AF194" s="9"/>
      <c r="AG194" s="1">
        <v>136</v>
      </c>
      <c r="AH194" s="16" t="s">
        <v>239</v>
      </c>
      <c r="AI194" s="24">
        <v>7.4257429999999999E-2</v>
      </c>
    </row>
    <row r="195" spans="1:35" x14ac:dyDescent="0.2">
      <c r="A195" s="1">
        <v>137</v>
      </c>
      <c r="B195" s="16" t="s">
        <v>249</v>
      </c>
      <c r="C195" s="24">
        <v>0.29911367</v>
      </c>
      <c r="D195" s="9"/>
      <c r="E195" s="1">
        <v>137</v>
      </c>
      <c r="F195" s="16" t="s">
        <v>240</v>
      </c>
      <c r="G195" s="28">
        <v>0.11052381999999999</v>
      </c>
      <c r="H195" s="9"/>
      <c r="I195" s="1">
        <v>137</v>
      </c>
      <c r="J195" s="16" t="s">
        <v>270</v>
      </c>
      <c r="K195" s="24">
        <v>0.10459792</v>
      </c>
      <c r="L195" s="9"/>
      <c r="M195" s="1">
        <v>137</v>
      </c>
      <c r="N195" s="16" t="s">
        <v>215</v>
      </c>
      <c r="O195" s="24">
        <v>0.20866264000000001</v>
      </c>
      <c r="P195" s="9"/>
      <c r="Q195" s="1">
        <v>137</v>
      </c>
      <c r="R195" s="16" t="s">
        <v>238</v>
      </c>
      <c r="S195" s="28">
        <v>6.1311490000000003E-2</v>
      </c>
      <c r="T195" s="9"/>
      <c r="U195" s="1">
        <v>137</v>
      </c>
      <c r="V195" s="16" t="s">
        <v>190</v>
      </c>
      <c r="W195" s="33">
        <v>0</v>
      </c>
      <c r="X195" s="9"/>
      <c r="Y195" s="1">
        <v>137</v>
      </c>
      <c r="Z195" s="16" t="s">
        <v>209</v>
      </c>
      <c r="AA195" s="24">
        <v>0.17335365999999999</v>
      </c>
      <c r="AB195" s="9"/>
      <c r="AC195" s="1">
        <v>137</v>
      </c>
      <c r="AD195" s="16" t="s">
        <v>218</v>
      </c>
      <c r="AE195" s="37">
        <v>5.6909040000000001E-2</v>
      </c>
      <c r="AF195" s="9"/>
      <c r="AG195" s="1">
        <v>137</v>
      </c>
      <c r="AH195" s="16" t="s">
        <v>270</v>
      </c>
      <c r="AI195" s="24">
        <v>7.4257429999999999E-2</v>
      </c>
    </row>
    <row r="196" spans="1:35" x14ac:dyDescent="0.2">
      <c r="A196" s="1">
        <v>138</v>
      </c>
      <c r="B196" s="16" t="s">
        <v>201</v>
      </c>
      <c r="C196" s="24">
        <v>0.29133157999999998</v>
      </c>
      <c r="D196" s="9"/>
      <c r="E196" s="1">
        <v>138</v>
      </c>
      <c r="F196" s="16" t="s">
        <v>296</v>
      </c>
      <c r="G196" s="28">
        <v>0.10869457</v>
      </c>
      <c r="H196" s="9"/>
      <c r="I196" s="1">
        <v>138</v>
      </c>
      <c r="J196" s="16" t="s">
        <v>223</v>
      </c>
      <c r="K196" s="24">
        <v>0.10387506000000001</v>
      </c>
      <c r="L196" s="9"/>
      <c r="M196" s="1">
        <v>138</v>
      </c>
      <c r="N196" s="16" t="s">
        <v>243</v>
      </c>
      <c r="O196" s="24">
        <v>0.20817084</v>
      </c>
      <c r="P196" s="9"/>
      <c r="Q196" s="1">
        <v>138</v>
      </c>
      <c r="R196" s="16" t="s">
        <v>223</v>
      </c>
      <c r="S196" s="28">
        <v>4.303046E-2</v>
      </c>
      <c r="T196" s="9"/>
      <c r="U196" s="1">
        <v>138</v>
      </c>
      <c r="V196" s="16" t="s">
        <v>239</v>
      </c>
      <c r="W196" s="33">
        <v>0</v>
      </c>
      <c r="X196" s="9"/>
      <c r="Y196" s="1">
        <v>138</v>
      </c>
      <c r="Z196" s="16" t="s">
        <v>269</v>
      </c>
      <c r="AA196" s="24">
        <v>0.15082111000000001</v>
      </c>
      <c r="AB196" s="9"/>
      <c r="AC196" s="1">
        <v>138</v>
      </c>
      <c r="AD196" s="16" t="s">
        <v>235</v>
      </c>
      <c r="AE196" s="37">
        <v>5.4797020000000002E-2</v>
      </c>
      <c r="AF196" s="9"/>
      <c r="AG196" s="1">
        <v>138</v>
      </c>
      <c r="AH196" s="16" t="s">
        <v>230</v>
      </c>
      <c r="AI196" s="24">
        <v>6.9306930000000003E-2</v>
      </c>
    </row>
    <row r="197" spans="1:35" x14ac:dyDescent="0.2">
      <c r="A197" s="1">
        <v>139</v>
      </c>
      <c r="B197" s="16" t="s">
        <v>205</v>
      </c>
      <c r="C197" s="24">
        <v>0.29124050000000001</v>
      </c>
      <c r="D197" s="9"/>
      <c r="E197" s="1">
        <v>139</v>
      </c>
      <c r="F197" s="16" t="s">
        <v>222</v>
      </c>
      <c r="G197" s="28">
        <v>0.10164375</v>
      </c>
      <c r="H197" s="9"/>
      <c r="I197" s="1">
        <v>139</v>
      </c>
      <c r="J197" s="16" t="s">
        <v>197</v>
      </c>
      <c r="K197" s="24">
        <v>0.10330280999999999</v>
      </c>
      <c r="L197" s="9"/>
      <c r="M197" s="1">
        <v>139</v>
      </c>
      <c r="N197" s="16" t="s">
        <v>209</v>
      </c>
      <c r="O197" s="24">
        <v>0.20769916999999999</v>
      </c>
      <c r="P197" s="9"/>
      <c r="Q197" s="1">
        <v>139</v>
      </c>
      <c r="R197" s="16" t="s">
        <v>255</v>
      </c>
      <c r="S197" s="28">
        <v>2.8951080000000001E-2</v>
      </c>
      <c r="T197" s="9"/>
      <c r="U197" s="1">
        <v>139</v>
      </c>
      <c r="V197" s="16" t="s">
        <v>214</v>
      </c>
      <c r="W197" s="33">
        <v>0</v>
      </c>
      <c r="X197" s="9"/>
      <c r="Y197" s="1">
        <v>139</v>
      </c>
      <c r="Z197" s="16" t="s">
        <v>251</v>
      </c>
      <c r="AA197" s="24">
        <v>0.12202267</v>
      </c>
      <c r="AB197" s="9"/>
      <c r="AC197" s="1">
        <v>139</v>
      </c>
      <c r="AD197" s="16" t="s">
        <v>215</v>
      </c>
      <c r="AE197" s="37">
        <v>5.3485100000000001E-2</v>
      </c>
      <c r="AF197" s="9"/>
      <c r="AG197" s="1">
        <v>139</v>
      </c>
      <c r="AH197" s="16" t="s">
        <v>212</v>
      </c>
      <c r="AI197" s="24">
        <v>5.9405939999999997E-2</v>
      </c>
    </row>
    <row r="198" spans="1:35" x14ac:dyDescent="0.2">
      <c r="A198" s="1">
        <v>140</v>
      </c>
      <c r="B198" s="16" t="s">
        <v>218</v>
      </c>
      <c r="C198" s="24">
        <v>0.28509564999999998</v>
      </c>
      <c r="D198" s="9"/>
      <c r="E198" s="1">
        <v>140</v>
      </c>
      <c r="F198" s="16" t="s">
        <v>201</v>
      </c>
      <c r="G198" s="28">
        <v>0.10089777</v>
      </c>
      <c r="H198" s="9"/>
      <c r="I198" s="1">
        <v>140</v>
      </c>
      <c r="J198" s="16" t="s">
        <v>204</v>
      </c>
      <c r="K198" s="24">
        <v>9.9977490000000002E-2</v>
      </c>
      <c r="L198" s="9"/>
      <c r="M198" s="1">
        <v>140</v>
      </c>
      <c r="N198" s="16" t="s">
        <v>169</v>
      </c>
      <c r="O198" s="24">
        <v>0.20768909999999999</v>
      </c>
      <c r="P198" s="9"/>
      <c r="Q198" s="1">
        <v>140</v>
      </c>
      <c r="R198" s="16" t="s">
        <v>216</v>
      </c>
      <c r="S198" s="28">
        <v>2.816923E-2</v>
      </c>
      <c r="T198" s="9"/>
      <c r="U198" s="1">
        <v>140</v>
      </c>
      <c r="V198" s="16" t="s">
        <v>199</v>
      </c>
      <c r="W198" s="33">
        <v>0</v>
      </c>
      <c r="X198" s="9"/>
      <c r="Y198" s="1">
        <v>140</v>
      </c>
      <c r="Z198" s="16" t="s">
        <v>267</v>
      </c>
      <c r="AA198" s="24">
        <v>0.12119881</v>
      </c>
      <c r="AB198" s="9"/>
      <c r="AC198" s="1">
        <v>140</v>
      </c>
      <c r="AD198" s="16" t="s">
        <v>213</v>
      </c>
      <c r="AE198" s="37">
        <v>4.3612989999999997E-2</v>
      </c>
      <c r="AF198" s="9"/>
      <c r="AG198" s="1">
        <v>140</v>
      </c>
      <c r="AH198" s="16" t="s">
        <v>209</v>
      </c>
      <c r="AI198" s="24">
        <v>4.9504949999999999E-2</v>
      </c>
    </row>
    <row r="199" spans="1:35" x14ac:dyDescent="0.2">
      <c r="A199" s="1">
        <v>141</v>
      </c>
      <c r="B199" s="16" t="s">
        <v>269</v>
      </c>
      <c r="C199" s="24">
        <v>0.27108576000000001</v>
      </c>
      <c r="D199" s="9"/>
      <c r="E199" s="1">
        <v>141</v>
      </c>
      <c r="F199" s="16" t="s">
        <v>293</v>
      </c>
      <c r="G199" s="28">
        <v>9.1357530000000006E-2</v>
      </c>
      <c r="H199" s="9"/>
      <c r="I199" s="1">
        <v>141</v>
      </c>
      <c r="J199" s="16" t="s">
        <v>127</v>
      </c>
      <c r="K199" s="24">
        <v>9.583084E-2</v>
      </c>
      <c r="L199" s="9"/>
      <c r="M199" s="1">
        <v>141</v>
      </c>
      <c r="N199" s="16" t="s">
        <v>237</v>
      </c>
      <c r="O199" s="24">
        <v>0.186392</v>
      </c>
      <c r="P199" s="9"/>
      <c r="Q199" s="1">
        <v>141</v>
      </c>
      <c r="R199" s="16" t="s">
        <v>207</v>
      </c>
      <c r="S199" s="28">
        <v>2.6293859999999999E-2</v>
      </c>
      <c r="T199" s="9"/>
      <c r="U199" s="1">
        <v>141</v>
      </c>
      <c r="V199" s="16" t="s">
        <v>135</v>
      </c>
      <c r="W199" s="33">
        <v>0</v>
      </c>
      <c r="X199" s="9"/>
      <c r="Y199" s="1">
        <v>141</v>
      </c>
      <c r="Z199" s="16" t="s">
        <v>268</v>
      </c>
      <c r="AA199" s="24">
        <v>9.5238100000000006E-2</v>
      </c>
      <c r="AB199" s="9"/>
      <c r="AC199" s="1">
        <v>141</v>
      </c>
      <c r="AD199" s="16" t="s">
        <v>212</v>
      </c>
      <c r="AE199" s="37">
        <v>4.1963960000000002E-2</v>
      </c>
      <c r="AF199" s="9"/>
      <c r="AG199" s="1">
        <v>141</v>
      </c>
      <c r="AH199" s="16" t="s">
        <v>251</v>
      </c>
      <c r="AI199" s="24">
        <v>4.4554459999999997E-2</v>
      </c>
    </row>
    <row r="200" spans="1:35" x14ac:dyDescent="0.2">
      <c r="A200" s="1">
        <v>142</v>
      </c>
      <c r="B200" s="16" t="s">
        <v>295</v>
      </c>
      <c r="C200" s="24">
        <v>0.25321452999999999</v>
      </c>
      <c r="D200" s="9"/>
      <c r="E200" s="1">
        <v>142</v>
      </c>
      <c r="F200" s="16" t="s">
        <v>269</v>
      </c>
      <c r="G200" s="28">
        <v>8.7663199999999997E-2</v>
      </c>
      <c r="H200" s="9"/>
      <c r="I200" s="1">
        <v>142</v>
      </c>
      <c r="J200" s="16" t="s">
        <v>239</v>
      </c>
      <c r="K200" s="24">
        <v>9.3478740000000005E-2</v>
      </c>
      <c r="L200" s="9"/>
      <c r="M200" s="1">
        <v>142</v>
      </c>
      <c r="N200" s="16" t="s">
        <v>227</v>
      </c>
      <c r="O200" s="24">
        <v>0.15894737</v>
      </c>
      <c r="P200" s="9"/>
      <c r="Q200" s="1">
        <v>142</v>
      </c>
      <c r="R200" s="16" t="s">
        <v>234</v>
      </c>
      <c r="S200" s="28">
        <v>2.5864350000000001E-2</v>
      </c>
      <c r="T200" s="9"/>
      <c r="U200" s="1">
        <v>142</v>
      </c>
      <c r="V200" s="16" t="s">
        <v>215</v>
      </c>
      <c r="W200" s="33">
        <v>0</v>
      </c>
      <c r="X200" s="9"/>
      <c r="Y200" s="1">
        <v>142</v>
      </c>
      <c r="Z200" s="16" t="s">
        <v>256</v>
      </c>
      <c r="AA200" s="24">
        <v>8.8095240000000005E-2</v>
      </c>
      <c r="AB200" s="9"/>
      <c r="AC200" s="1">
        <v>142</v>
      </c>
      <c r="AD200" s="16" t="s">
        <v>188</v>
      </c>
      <c r="AE200" s="37">
        <v>3.954063E-2</v>
      </c>
      <c r="AF200" s="9"/>
      <c r="AG200" s="1">
        <v>142</v>
      </c>
      <c r="AH200" s="16" t="s">
        <v>259</v>
      </c>
      <c r="AI200" s="24">
        <v>3.9603960000000001E-2</v>
      </c>
    </row>
    <row r="201" spans="1:35" x14ac:dyDescent="0.2">
      <c r="A201" s="1">
        <v>143</v>
      </c>
      <c r="B201" s="16" t="s">
        <v>215</v>
      </c>
      <c r="C201" s="24">
        <v>0.24253891</v>
      </c>
      <c r="D201" s="9"/>
      <c r="E201" s="1">
        <v>143</v>
      </c>
      <c r="F201" s="16" t="s">
        <v>264</v>
      </c>
      <c r="G201" s="28">
        <v>6.6609799999999997E-2</v>
      </c>
      <c r="H201" s="9"/>
      <c r="I201" s="1">
        <v>143</v>
      </c>
      <c r="J201" s="16" t="s">
        <v>259</v>
      </c>
      <c r="K201" s="24">
        <v>8.8986880000000004E-2</v>
      </c>
      <c r="L201" s="9"/>
      <c r="M201" s="1">
        <v>143</v>
      </c>
      <c r="N201" s="16" t="s">
        <v>165</v>
      </c>
      <c r="O201" s="24">
        <v>0.15743313</v>
      </c>
      <c r="P201" s="9"/>
      <c r="Q201" s="1">
        <v>143</v>
      </c>
      <c r="R201" s="16" t="s">
        <v>226</v>
      </c>
      <c r="S201" s="28">
        <v>1.6900140000000001E-2</v>
      </c>
      <c r="T201" s="9"/>
      <c r="U201" s="1">
        <v>143</v>
      </c>
      <c r="V201" s="16" t="s">
        <v>293</v>
      </c>
      <c r="W201" s="33">
        <v>0</v>
      </c>
      <c r="X201" s="9"/>
      <c r="Y201" s="1">
        <v>143</v>
      </c>
      <c r="Z201" s="16" t="s">
        <v>240</v>
      </c>
      <c r="AA201" s="24">
        <v>2.6052249999999999E-2</v>
      </c>
      <c r="AB201" s="9"/>
      <c r="AC201" s="1">
        <v>143</v>
      </c>
      <c r="AD201" s="16" t="s">
        <v>197</v>
      </c>
      <c r="AE201" s="37">
        <v>2.9260689999999999E-2</v>
      </c>
      <c r="AF201" s="9"/>
      <c r="AG201" s="1">
        <v>143</v>
      </c>
      <c r="AH201" s="16" t="s">
        <v>219</v>
      </c>
      <c r="AI201" s="24">
        <v>3.4653469999999999E-2</v>
      </c>
    </row>
    <row r="202" spans="1:35" x14ac:dyDescent="0.2">
      <c r="A202" s="1">
        <v>144</v>
      </c>
      <c r="B202" s="16" t="s">
        <v>188</v>
      </c>
      <c r="C202" s="24">
        <v>0.22229852</v>
      </c>
      <c r="D202" s="9"/>
      <c r="E202" s="1">
        <v>144</v>
      </c>
      <c r="F202" s="16" t="s">
        <v>223</v>
      </c>
      <c r="G202" s="28">
        <v>4.9611460000000003E-2</v>
      </c>
      <c r="H202" s="9"/>
      <c r="I202" s="1">
        <v>144</v>
      </c>
      <c r="J202" s="16" t="s">
        <v>251</v>
      </c>
      <c r="K202" s="24">
        <v>8.3779999999999993E-2</v>
      </c>
      <c r="L202" s="9"/>
      <c r="M202" s="1">
        <v>144</v>
      </c>
      <c r="N202" s="16" t="s">
        <v>219</v>
      </c>
      <c r="O202" s="24">
        <v>0.15430831</v>
      </c>
      <c r="P202" s="9"/>
      <c r="Q202" s="1">
        <v>144</v>
      </c>
      <c r="R202" s="16" t="s">
        <v>252</v>
      </c>
      <c r="S202" s="28">
        <v>1.423166E-2</v>
      </c>
      <c r="T202" s="9"/>
      <c r="U202" s="1">
        <v>144</v>
      </c>
      <c r="V202" s="16" t="s">
        <v>247</v>
      </c>
      <c r="W202" s="33">
        <v>0</v>
      </c>
      <c r="X202" s="9"/>
      <c r="Y202" s="1">
        <v>144</v>
      </c>
      <c r="Z202" s="16" t="s">
        <v>257</v>
      </c>
      <c r="AA202" s="24">
        <v>2.1806099999999998E-2</v>
      </c>
      <c r="AB202" s="9"/>
      <c r="AC202" s="1">
        <v>144</v>
      </c>
      <c r="AD202" s="16" t="s">
        <v>293</v>
      </c>
      <c r="AE202" s="37">
        <v>2.2694599999999999E-2</v>
      </c>
      <c r="AF202" s="9"/>
      <c r="AG202" s="1">
        <v>144</v>
      </c>
      <c r="AH202" s="16" t="s">
        <v>247</v>
      </c>
      <c r="AI202" s="24">
        <v>3.4653469999999999E-2</v>
      </c>
    </row>
    <row r="203" spans="1:35" x14ac:dyDescent="0.2">
      <c r="A203" s="1">
        <v>145</v>
      </c>
      <c r="B203" s="16" t="s">
        <v>270</v>
      </c>
      <c r="C203" s="24">
        <v>0.19285759</v>
      </c>
      <c r="D203" s="9"/>
      <c r="E203" s="1">
        <v>145</v>
      </c>
      <c r="F203" s="16" t="s">
        <v>267</v>
      </c>
      <c r="G203" s="28">
        <v>4.7404000000000002E-2</v>
      </c>
      <c r="H203" s="9"/>
      <c r="I203" s="1">
        <v>145</v>
      </c>
      <c r="J203" s="16" t="s">
        <v>295</v>
      </c>
      <c r="K203" s="24">
        <v>7.3988399999999996E-2</v>
      </c>
      <c r="L203" s="9"/>
      <c r="M203" s="1">
        <v>145</v>
      </c>
      <c r="N203" s="16" t="s">
        <v>269</v>
      </c>
      <c r="O203" s="24">
        <v>0.15354328</v>
      </c>
      <c r="P203" s="9"/>
      <c r="Q203" s="1">
        <v>145</v>
      </c>
      <c r="R203" s="16" t="s">
        <v>251</v>
      </c>
      <c r="S203" s="28">
        <v>9.6874999999999999E-3</v>
      </c>
      <c r="T203" s="9"/>
      <c r="U203" s="1">
        <v>145</v>
      </c>
      <c r="V203" s="16" t="s">
        <v>170</v>
      </c>
      <c r="W203" s="33">
        <v>0</v>
      </c>
      <c r="X203" s="9"/>
      <c r="Y203" s="1">
        <v>145</v>
      </c>
      <c r="Z203" s="16" t="s">
        <v>293</v>
      </c>
      <c r="AA203" s="24">
        <v>2.1164019999999999E-2</v>
      </c>
      <c r="AB203" s="9"/>
      <c r="AC203" s="1">
        <v>145</v>
      </c>
      <c r="AD203" s="16" t="s">
        <v>242</v>
      </c>
      <c r="AE203" s="37">
        <v>2.2449710000000001E-2</v>
      </c>
      <c r="AF203" s="9"/>
      <c r="AG203" s="1">
        <v>145</v>
      </c>
      <c r="AH203" s="16" t="s">
        <v>295</v>
      </c>
      <c r="AI203" s="24">
        <v>2.475248E-2</v>
      </c>
    </row>
    <row r="204" spans="1:35" x14ac:dyDescent="0.2">
      <c r="A204" s="1">
        <v>146</v>
      </c>
      <c r="B204" s="16" t="s">
        <v>235</v>
      </c>
      <c r="C204" s="24">
        <v>0.12417261</v>
      </c>
      <c r="D204" s="9"/>
      <c r="E204" s="1">
        <v>146</v>
      </c>
      <c r="F204" s="16" t="s">
        <v>249</v>
      </c>
      <c r="G204" s="28">
        <v>2.4477619999999999E-2</v>
      </c>
      <c r="H204" s="9"/>
      <c r="I204" s="1">
        <v>146</v>
      </c>
      <c r="J204" s="16" t="s">
        <v>209</v>
      </c>
      <c r="K204" s="24">
        <v>3.5586449999999999E-2</v>
      </c>
      <c r="L204" s="9"/>
      <c r="M204" s="1">
        <v>146</v>
      </c>
      <c r="N204" s="16" t="s">
        <v>201</v>
      </c>
      <c r="O204" s="24">
        <v>0.12081536</v>
      </c>
      <c r="P204" s="9"/>
      <c r="Q204" s="1">
        <v>146</v>
      </c>
      <c r="R204" s="16" t="s">
        <v>266</v>
      </c>
      <c r="S204" s="28">
        <v>3.0627300000000001E-3</v>
      </c>
      <c r="T204" s="9"/>
      <c r="U204" s="1">
        <v>146</v>
      </c>
      <c r="V204" s="16" t="s">
        <v>238</v>
      </c>
      <c r="W204" s="33">
        <v>0</v>
      </c>
      <c r="X204" s="9"/>
      <c r="Y204" s="1">
        <v>146</v>
      </c>
      <c r="Z204" s="16" t="s">
        <v>235</v>
      </c>
      <c r="AA204" s="24">
        <v>1.5873020000000002E-2</v>
      </c>
      <c r="AB204" s="9"/>
      <c r="AC204" s="1">
        <v>146</v>
      </c>
      <c r="AD204" s="16" t="s">
        <v>264</v>
      </c>
      <c r="AE204" s="37">
        <v>2.1358229999999999E-2</v>
      </c>
      <c r="AF204" s="9"/>
      <c r="AG204" s="1">
        <v>146</v>
      </c>
      <c r="AH204" s="16" t="s">
        <v>252</v>
      </c>
      <c r="AI204" s="24">
        <v>1.485149E-2</v>
      </c>
    </row>
    <row r="205" spans="1:35" x14ac:dyDescent="0.2">
      <c r="A205" s="1">
        <v>147</v>
      </c>
      <c r="B205" s="16" t="s">
        <v>223</v>
      </c>
      <c r="C205" s="24">
        <v>9.915873E-2</v>
      </c>
      <c r="D205" s="9"/>
      <c r="E205" s="1">
        <v>147</v>
      </c>
      <c r="F205" s="16" t="s">
        <v>235</v>
      </c>
      <c r="G205" s="28">
        <v>2.3734180000000001E-2</v>
      </c>
      <c r="H205" s="9"/>
      <c r="I205" s="1">
        <v>147</v>
      </c>
      <c r="J205" s="16" t="s">
        <v>269</v>
      </c>
      <c r="K205" s="24">
        <v>2.3126049999999999E-2</v>
      </c>
      <c r="L205" s="9"/>
      <c r="M205" s="1">
        <v>147</v>
      </c>
      <c r="N205" s="16" t="s">
        <v>270</v>
      </c>
      <c r="O205" s="24">
        <v>7.7868850000000003E-2</v>
      </c>
      <c r="P205" s="9"/>
      <c r="Q205" s="1">
        <v>147</v>
      </c>
      <c r="R205" s="16" t="s">
        <v>195</v>
      </c>
      <c r="S205" s="28">
        <v>1.4187799999999999E-3</v>
      </c>
      <c r="T205" s="9"/>
      <c r="U205" s="1">
        <v>147</v>
      </c>
      <c r="V205" s="16" t="s">
        <v>266</v>
      </c>
      <c r="W205" s="33">
        <v>0</v>
      </c>
      <c r="X205" s="9"/>
      <c r="Y205" s="1">
        <v>147</v>
      </c>
      <c r="Z205" s="16" t="s">
        <v>249</v>
      </c>
      <c r="AA205" s="33" t="s">
        <v>319</v>
      </c>
      <c r="AB205" s="9"/>
      <c r="AC205" s="1">
        <v>147</v>
      </c>
      <c r="AD205" s="16" t="s">
        <v>223</v>
      </c>
      <c r="AE205" s="37">
        <v>8.6667999999999999E-4</v>
      </c>
      <c r="AF205" s="9"/>
      <c r="AG205" s="1">
        <v>147</v>
      </c>
      <c r="AH205" s="16" t="s">
        <v>269</v>
      </c>
      <c r="AI205" s="33" t="s">
        <v>319</v>
      </c>
    </row>
    <row r="206" spans="1:3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">
      <c r="A208" s="9"/>
      <c r="B208" s="15" t="s">
        <v>284</v>
      </c>
      <c r="C208" s="22">
        <f>AVERAGE(C59:C205)</f>
        <v>0.50547937986394587</v>
      </c>
      <c r="D208" s="22"/>
      <c r="E208" s="9"/>
      <c r="F208" s="15" t="s">
        <v>284</v>
      </c>
      <c r="G208" s="22">
        <f>AVERAGE(G59:G205)</f>
        <v>0.39811927047619056</v>
      </c>
      <c r="H208" s="9"/>
      <c r="I208" s="9"/>
      <c r="J208" s="15" t="s">
        <v>284</v>
      </c>
      <c r="K208" s="22">
        <f>AVERAGE(K59:K205)</f>
        <v>0.27432020380952371</v>
      </c>
      <c r="L208" s="9"/>
      <c r="M208" s="9"/>
      <c r="N208" s="15" t="s">
        <v>284</v>
      </c>
      <c r="O208" s="22">
        <f>AVERAGE(O59:O205)</f>
        <v>0.39061336496598636</v>
      </c>
      <c r="P208" s="9"/>
      <c r="Q208" s="9"/>
      <c r="R208" s="15" t="s">
        <v>284</v>
      </c>
      <c r="S208" s="22">
        <f>AVERAGE(S59:S205)</f>
        <v>0.35772756142857148</v>
      </c>
      <c r="T208" s="9"/>
      <c r="U208" s="9"/>
      <c r="V208" s="15" t="s">
        <v>284</v>
      </c>
      <c r="W208" s="22">
        <f>AVERAGE(W59:W205)</f>
        <v>0.17622254993197278</v>
      </c>
      <c r="X208" s="9"/>
      <c r="Y208" s="9"/>
      <c r="Z208" s="15" t="s">
        <v>284</v>
      </c>
      <c r="AA208" s="22">
        <f>AVERAGE(AA59:AA205)</f>
        <v>0.46546023534246567</v>
      </c>
      <c r="AB208" s="9"/>
      <c r="AC208" s="9"/>
      <c r="AD208" s="15" t="s">
        <v>284</v>
      </c>
      <c r="AE208" s="22">
        <f>AVERAGE(AE59:AE205)</f>
        <v>0.17595950442176872</v>
      </c>
      <c r="AF208" s="9"/>
      <c r="AG208" s="9"/>
      <c r="AH208" s="15" t="s">
        <v>284</v>
      </c>
      <c r="AI208" s="22">
        <v>0.42606789</v>
      </c>
    </row>
    <row r="209" spans="1:35" x14ac:dyDescent="0.2">
      <c r="A209" s="9"/>
      <c r="B209" s="9" t="s">
        <v>285</v>
      </c>
      <c r="C209" s="22">
        <v>0.14296296999999999</v>
      </c>
      <c r="D209" s="9"/>
      <c r="E209" s="9"/>
      <c r="F209" s="9" t="s">
        <v>285</v>
      </c>
      <c r="G209" s="22">
        <v>0.15483838</v>
      </c>
      <c r="H209" s="9"/>
      <c r="I209" s="9"/>
      <c r="J209" s="9" t="s">
        <v>285</v>
      </c>
      <c r="K209" s="22">
        <v>0.13394996000000001</v>
      </c>
      <c r="L209" s="9"/>
      <c r="M209" s="9"/>
      <c r="N209" s="9" t="s">
        <v>285</v>
      </c>
      <c r="O209" s="22">
        <v>0.11800946</v>
      </c>
      <c r="P209" s="9"/>
      <c r="Q209" s="9"/>
      <c r="R209" s="9" t="s">
        <v>285</v>
      </c>
      <c r="S209" s="22">
        <v>0.18472042</v>
      </c>
      <c r="T209" s="9"/>
      <c r="U209" s="9"/>
      <c r="V209" s="9" t="s">
        <v>285</v>
      </c>
      <c r="W209" s="22">
        <v>0.16565297000000001</v>
      </c>
      <c r="X209" s="9"/>
      <c r="Y209" s="9"/>
      <c r="Z209" s="9" t="s">
        <v>285</v>
      </c>
      <c r="AA209" s="22">
        <v>0.18810199</v>
      </c>
      <c r="AB209" s="9"/>
      <c r="AC209" s="9"/>
      <c r="AD209" s="9" t="s">
        <v>285</v>
      </c>
      <c r="AE209" s="22">
        <v>0.10466731999999999</v>
      </c>
      <c r="AF209" s="9"/>
      <c r="AG209" s="9"/>
      <c r="AH209" s="9" t="s">
        <v>285</v>
      </c>
      <c r="AI209" s="22">
        <v>0.25016209</v>
      </c>
    </row>
    <row r="210" spans="1:35" x14ac:dyDescent="0.2">
      <c r="A210" s="9"/>
      <c r="B210" s="14" t="s">
        <v>286</v>
      </c>
      <c r="C210" s="22">
        <v>0.64844234999999995</v>
      </c>
      <c r="D210" s="9"/>
      <c r="E210" s="9"/>
      <c r="F210" s="14" t="s">
        <v>286</v>
      </c>
      <c r="G210" s="22">
        <v>0.55295764999999997</v>
      </c>
      <c r="H210" s="9"/>
      <c r="I210" s="9"/>
      <c r="J210" s="14" t="s">
        <v>286</v>
      </c>
      <c r="K210" s="22">
        <v>0.40827016999999999</v>
      </c>
      <c r="L210" s="9"/>
      <c r="M210" s="9"/>
      <c r="N210" s="14" t="s">
        <v>286</v>
      </c>
      <c r="O210" s="22">
        <v>0.50862282999999997</v>
      </c>
      <c r="P210" s="9"/>
      <c r="Q210" s="9"/>
      <c r="R210" s="14" t="s">
        <v>286</v>
      </c>
      <c r="S210" s="22">
        <v>0.54244798000000005</v>
      </c>
      <c r="T210" s="9"/>
      <c r="U210" s="9"/>
      <c r="V210" s="14" t="s">
        <v>286</v>
      </c>
      <c r="W210" s="22">
        <v>0.34187551999999999</v>
      </c>
      <c r="X210" s="9"/>
      <c r="Y210" s="9"/>
      <c r="Z210" s="14" t="s">
        <v>286</v>
      </c>
      <c r="AA210" s="22">
        <v>0.65356223000000002</v>
      </c>
      <c r="AB210" s="9"/>
      <c r="AC210" s="9"/>
      <c r="AD210" s="14" t="s">
        <v>286</v>
      </c>
      <c r="AE210" s="22">
        <v>0.28062682</v>
      </c>
      <c r="AF210" s="9"/>
      <c r="AG210" s="9"/>
      <c r="AH210" s="14" t="s">
        <v>286</v>
      </c>
      <c r="AI210" s="22">
        <v>0.67622998999999995</v>
      </c>
    </row>
    <row r="211" spans="1:35" x14ac:dyDescent="0.2">
      <c r="A211" s="9"/>
      <c r="B211" s="16" t="s">
        <v>287</v>
      </c>
      <c r="C211" s="22">
        <v>0.36251641000000001</v>
      </c>
      <c r="D211" s="9"/>
      <c r="E211" s="9"/>
      <c r="F211" s="16" t="s">
        <v>287</v>
      </c>
      <c r="G211" s="22">
        <v>0.24328089</v>
      </c>
      <c r="H211" s="9"/>
      <c r="I211" s="9"/>
      <c r="J211" s="16" t="s">
        <v>287</v>
      </c>
      <c r="K211" s="22">
        <v>0.14037024000000001</v>
      </c>
      <c r="L211" s="9"/>
      <c r="M211" s="9"/>
      <c r="N211" s="16" t="s">
        <v>287</v>
      </c>
      <c r="O211" s="22">
        <v>0.27260390000000001</v>
      </c>
      <c r="P211" s="9"/>
      <c r="Q211" s="9"/>
      <c r="R211" s="16" t="s">
        <v>287</v>
      </c>
      <c r="S211" s="22">
        <v>0.17300714</v>
      </c>
      <c r="T211" s="9"/>
      <c r="U211" s="9"/>
      <c r="V211" s="16" t="s">
        <v>287</v>
      </c>
      <c r="W211" s="22">
        <v>1.056958E-2</v>
      </c>
      <c r="X211" s="9"/>
      <c r="Y211" s="9"/>
      <c r="Z211" s="16" t="s">
        <v>287</v>
      </c>
      <c r="AA211" s="22">
        <v>0.27735823999999998</v>
      </c>
      <c r="AB211" s="9"/>
      <c r="AC211" s="9"/>
      <c r="AD211" s="16" t="s">
        <v>287</v>
      </c>
      <c r="AE211" s="22">
        <v>7.1292179999999997E-2</v>
      </c>
      <c r="AF211" s="9"/>
      <c r="AG211" s="9"/>
      <c r="AH211" s="16" t="s">
        <v>287</v>
      </c>
      <c r="AI211" s="22">
        <v>0.1759058</v>
      </c>
    </row>
  </sheetData>
  <mergeCells count="26">
    <mergeCell ref="A57:AI57"/>
    <mergeCell ref="A52:AI52"/>
    <mergeCell ref="U56:W56"/>
    <mergeCell ref="Y56:AA56"/>
    <mergeCell ref="A3:C3"/>
    <mergeCell ref="E3:G3"/>
    <mergeCell ref="I3:K3"/>
    <mergeCell ref="M3:O3"/>
    <mergeCell ref="Q3:S3"/>
    <mergeCell ref="U3:W3"/>
    <mergeCell ref="A53:AI53"/>
    <mergeCell ref="A54:AI54"/>
    <mergeCell ref="A55:AI55"/>
    <mergeCell ref="A56:C56"/>
    <mergeCell ref="AG56:AI56"/>
    <mergeCell ref="Y3:AA3"/>
    <mergeCell ref="AC3:AE3"/>
    <mergeCell ref="AG3:AI3"/>
    <mergeCell ref="A1:AI1"/>
    <mergeCell ref="E56:G56"/>
    <mergeCell ref="I56:K56"/>
    <mergeCell ref="M56:O56"/>
    <mergeCell ref="Q56:S56"/>
    <mergeCell ref="AC56:AE56"/>
    <mergeCell ref="A2:AI2"/>
    <mergeCell ref="A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 Page</vt:lpstr>
      <vt:lpstr>Pillar Framework</vt:lpstr>
      <vt:lpstr>2024 ATDI by Category</vt:lpstr>
      <vt:lpstr>2024 ATDI by Pillar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 Bakker</dc:creator>
  <cp:lastModifiedBy>Heather Kelly</cp:lastModifiedBy>
  <dcterms:created xsi:type="dcterms:W3CDTF">2024-11-21T19:31:29Z</dcterms:created>
  <dcterms:modified xsi:type="dcterms:W3CDTF">2024-12-30T20:01:23Z</dcterms:modified>
</cp:coreProperties>
</file>