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iogo Acioli\Downloads\"/>
    </mc:Choice>
  </mc:AlternateContent>
  <xr:revisionPtr revIDLastSave="0" documentId="13_ncr:1_{2E0C1233-CED5-4C3B-BA16-669F673B3D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untries League Table" sheetId="1" r:id="rId1"/>
  </sheets>
  <definedNames>
    <definedName name="_xlnm._FilterDatabase" localSheetId="0" hidden="1">'Countries League Table'!$B$1:$H$230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0" i="1" l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5" i="1"/>
  <c r="H5" i="1"/>
  <c r="K6" i="1" s="1"/>
  <c r="K4" i="1"/>
  <c r="H4" i="1"/>
  <c r="K3" i="1"/>
  <c r="H3" i="1"/>
  <c r="H2" i="1"/>
</calcChain>
</file>

<file path=xl/sharedStrings.xml><?xml version="1.0" encoding="utf-8"?>
<sst xmlns="http://schemas.openxmlformats.org/spreadsheetml/2006/main" count="701" uniqueCount="485">
  <si>
    <t>Position</t>
  </si>
  <si>
    <t>country</t>
  </si>
  <si>
    <t>CountryCode</t>
  </si>
  <si>
    <t>Region</t>
  </si>
  <si>
    <t>Mean download speed (Mbps)</t>
  </si>
  <si>
    <t>Unique IPs tested</t>
  </si>
  <si>
    <t>Total tests</t>
  </si>
  <si>
    <t>How long it takes to download a 5GB movie (H:MM:SS)</t>
  </si>
  <si>
    <t>Global</t>
  </si>
  <si>
    <t>Iceland</t>
  </si>
  <si>
    <t>IS</t>
  </si>
  <si>
    <t>WESTERN EUROPE</t>
  </si>
  <si>
    <t>Totals</t>
  </si>
  <si>
    <t>Jersey</t>
  </si>
  <si>
    <t>JE</t>
  </si>
  <si>
    <t>Total number of speed tests in all countries:</t>
  </si>
  <si>
    <t>Macao</t>
  </si>
  <si>
    <t>MO</t>
  </si>
  <si>
    <t>ASIA (EX. NEAR EAST)</t>
  </si>
  <si>
    <t>Total number of unique IPs tested in all countries:</t>
  </si>
  <si>
    <t>Liechtenstein</t>
  </si>
  <si>
    <t>LI</t>
  </si>
  <si>
    <t>Average download speed globally:</t>
  </si>
  <si>
    <t>Denmark</t>
  </si>
  <si>
    <t>DK</t>
  </si>
  <si>
    <t>Average time taken to download a 5GB movie globally (H:MM:SS):</t>
  </si>
  <si>
    <t>Andorra</t>
  </si>
  <si>
    <t>AD</t>
  </si>
  <si>
    <t>Netherlands</t>
  </si>
  <si>
    <t>NL</t>
  </si>
  <si>
    <t>Gibraltar</t>
  </si>
  <si>
    <t>GI</t>
  </si>
  <si>
    <t>France</t>
  </si>
  <si>
    <t>FR</t>
  </si>
  <si>
    <t>Monaco</t>
  </si>
  <si>
    <t>MC</t>
  </si>
  <si>
    <t>South Korea</t>
  </si>
  <si>
    <t>KR</t>
  </si>
  <si>
    <t>United States</t>
  </si>
  <si>
    <t>US</t>
  </si>
  <si>
    <t>NORTHERN AMERICA</t>
  </si>
  <si>
    <t>Switzerland</t>
  </si>
  <si>
    <t>CH</t>
  </si>
  <si>
    <t>Uruguay</t>
  </si>
  <si>
    <t>UY</t>
  </si>
  <si>
    <t>SOUTH AMERICA</t>
  </si>
  <si>
    <t>Sweden</t>
  </si>
  <si>
    <t>SE</t>
  </si>
  <si>
    <t>Israel</t>
  </si>
  <si>
    <t>IL</t>
  </si>
  <si>
    <t>NEAR EAST</t>
  </si>
  <si>
    <t>Canada</t>
  </si>
  <si>
    <t>CA</t>
  </si>
  <si>
    <t>Spain</t>
  </si>
  <si>
    <t>ES</t>
  </si>
  <si>
    <t>Slovakia</t>
  </si>
  <si>
    <t>SK</t>
  </si>
  <si>
    <t>EASTERN EUROPE</t>
  </si>
  <si>
    <t>San Marino</t>
  </si>
  <si>
    <t>SM</t>
  </si>
  <si>
    <t>Malta</t>
  </si>
  <si>
    <t>MT</t>
  </si>
  <si>
    <t>Norway</t>
  </si>
  <si>
    <t>NO</t>
  </si>
  <si>
    <t>Japan</t>
  </si>
  <si>
    <t>JP</t>
  </si>
  <si>
    <t>Hong Kong</t>
  </si>
  <si>
    <t>HK</t>
  </si>
  <si>
    <t>Taiwan</t>
  </si>
  <si>
    <t>TW</t>
  </si>
  <si>
    <t>Singapore</t>
  </si>
  <si>
    <t>SG</t>
  </si>
  <si>
    <t>Belgium</t>
  </si>
  <si>
    <t>BE</t>
  </si>
  <si>
    <t>New Zealand</t>
  </si>
  <si>
    <t>NZ</t>
  </si>
  <si>
    <t>OCEANIA</t>
  </si>
  <si>
    <t>Cayman Islands</t>
  </si>
  <si>
    <t>KY</t>
  </si>
  <si>
    <t>CARIBBEAN</t>
  </si>
  <si>
    <t>Puerto Rico</t>
  </si>
  <si>
    <t>PR</t>
  </si>
  <si>
    <t>Portugal</t>
  </si>
  <si>
    <t>PT</t>
  </si>
  <si>
    <t>Isle of Man</t>
  </si>
  <si>
    <t>IM</t>
  </si>
  <si>
    <t>Estonia</t>
  </si>
  <si>
    <t>EE</t>
  </si>
  <si>
    <t>BALTICS</t>
  </si>
  <si>
    <t>Hungary</t>
  </si>
  <si>
    <t>HU</t>
  </si>
  <si>
    <t>United Kingdom</t>
  </si>
  <si>
    <t>GB</t>
  </si>
  <si>
    <t>Lithuania</t>
  </si>
  <si>
    <t>LT</t>
  </si>
  <si>
    <t>Bermuda</t>
  </si>
  <si>
    <t>BM</t>
  </si>
  <si>
    <t>Romania</t>
  </si>
  <si>
    <t>RO</t>
  </si>
  <si>
    <t>Poland</t>
  </si>
  <si>
    <t>PL</t>
  </si>
  <si>
    <t>Ireland</t>
  </si>
  <si>
    <t>IE</t>
  </si>
  <si>
    <t>Qatar</t>
  </si>
  <si>
    <t>QA</t>
  </si>
  <si>
    <t>Chile</t>
  </si>
  <si>
    <t>CL</t>
  </si>
  <si>
    <t>United Arab Emirates</t>
  </si>
  <si>
    <t>AE</t>
  </si>
  <si>
    <t>Barbados</t>
  </si>
  <si>
    <t>BB</t>
  </si>
  <si>
    <t>Latvia</t>
  </si>
  <si>
    <t>LV</t>
  </si>
  <si>
    <t>Finland</t>
  </si>
  <si>
    <t>FI</t>
  </si>
  <si>
    <t>Brazil</t>
  </si>
  <si>
    <t>BR</t>
  </si>
  <si>
    <t>Slovenia</t>
  </si>
  <si>
    <t>SI</t>
  </si>
  <si>
    <t>Germany</t>
  </si>
  <si>
    <t>DE</t>
  </si>
  <si>
    <t>Serbia</t>
  </si>
  <si>
    <t>RS</t>
  </si>
  <si>
    <t>U.S. Virgin Islands</t>
  </si>
  <si>
    <t>VI</t>
  </si>
  <si>
    <t>Malaysia</t>
  </si>
  <si>
    <t>MY</t>
  </si>
  <si>
    <t>British Virgin Islands</t>
  </si>
  <si>
    <t>VG</t>
  </si>
  <si>
    <t>North Macedonia</t>
  </si>
  <si>
    <t>MK</t>
  </si>
  <si>
    <t>Australia</t>
  </si>
  <si>
    <t>AU</t>
  </si>
  <si>
    <t>Luxembourg</t>
  </si>
  <si>
    <t>LU</t>
  </si>
  <si>
    <t>Guernsey</t>
  </si>
  <si>
    <t>GG</t>
  </si>
  <si>
    <t>Czechia</t>
  </si>
  <si>
    <t>CZ</t>
  </si>
  <si>
    <t>Montenegro</t>
  </si>
  <si>
    <t>ME</t>
  </si>
  <si>
    <t>Moldova</t>
  </si>
  <si>
    <t>MD</t>
  </si>
  <si>
    <t>Greece</t>
  </si>
  <si>
    <t>GR</t>
  </si>
  <si>
    <t>Grenada</t>
  </si>
  <si>
    <t>GD</t>
  </si>
  <si>
    <t>Italy</t>
  </si>
  <si>
    <t>IT</t>
  </si>
  <si>
    <t>Bahamas</t>
  </si>
  <si>
    <t>BS</t>
  </si>
  <si>
    <t>St Kitts and Nevis</t>
  </si>
  <si>
    <t>KN</t>
  </si>
  <si>
    <t>Thailand</t>
  </si>
  <si>
    <t>TH</t>
  </si>
  <si>
    <t>Bulgaria</t>
  </si>
  <si>
    <t>BG</t>
  </si>
  <si>
    <t>Russia</t>
  </si>
  <si>
    <t>RU</t>
  </si>
  <si>
    <t>CIS (FORMER USSR)</t>
  </si>
  <si>
    <t>Bahrain</t>
  </si>
  <si>
    <t>BH</t>
  </si>
  <si>
    <t>Aruba</t>
  </si>
  <si>
    <t>AW</t>
  </si>
  <si>
    <t>Trinidad and Tobago</t>
  </si>
  <si>
    <t>TT</t>
  </si>
  <si>
    <t>India</t>
  </si>
  <si>
    <t>IN</t>
  </si>
  <si>
    <t>Austria</t>
  </si>
  <si>
    <t>AT</t>
  </si>
  <si>
    <t>Åland Islands</t>
  </si>
  <si>
    <t>AX</t>
  </si>
  <si>
    <t>Réunion</t>
  </si>
  <si>
    <t>RE</t>
  </si>
  <si>
    <t>SUB-SAHARAN AFRICA</t>
  </si>
  <si>
    <t>Peru</t>
  </si>
  <si>
    <t>PE</t>
  </si>
  <si>
    <t>Brunei</t>
  </si>
  <si>
    <t>BN</t>
  </si>
  <si>
    <t>Panama</t>
  </si>
  <si>
    <t>PA</t>
  </si>
  <si>
    <t>CENTRAL AMERICA</t>
  </si>
  <si>
    <t>Jamaica</t>
  </si>
  <si>
    <t>JM</t>
  </si>
  <si>
    <t>Argentina</t>
  </si>
  <si>
    <t>AR</t>
  </si>
  <si>
    <t>Kuwait</t>
  </si>
  <si>
    <t>KW</t>
  </si>
  <si>
    <t>Oman</t>
  </si>
  <si>
    <t>OM</t>
  </si>
  <si>
    <t>Saint Lucia</t>
  </si>
  <si>
    <t>LC</t>
  </si>
  <si>
    <t>Faroe Islands</t>
  </si>
  <si>
    <t>FO</t>
  </si>
  <si>
    <t>Saint Pierre and Miquelon</t>
  </si>
  <si>
    <t>PM</t>
  </si>
  <si>
    <t>Saint Martin</t>
  </si>
  <si>
    <t>MF</t>
  </si>
  <si>
    <t>Guadeloupe</t>
  </si>
  <si>
    <t>GP</t>
  </si>
  <si>
    <t>Colombia</t>
  </si>
  <si>
    <t>CO</t>
  </si>
  <si>
    <t>Costa Rica</t>
  </si>
  <si>
    <t>CR</t>
  </si>
  <si>
    <t>Kosovo</t>
  </si>
  <si>
    <t>XK</t>
  </si>
  <si>
    <t>St Vincent and Grenadines</t>
  </si>
  <si>
    <t>VC</t>
  </si>
  <si>
    <t>Philippines</t>
  </si>
  <si>
    <t>PH</t>
  </si>
  <si>
    <t>Turks and Caicos Islands</t>
  </si>
  <si>
    <t>TC</t>
  </si>
  <si>
    <t>Vatican City</t>
  </si>
  <si>
    <t>VA</t>
  </si>
  <si>
    <t>Cyprus</t>
  </si>
  <si>
    <t>CY</t>
  </si>
  <si>
    <t>Saint Barthélemy</t>
  </si>
  <si>
    <t>BL</t>
  </si>
  <si>
    <t>New Caledonia</t>
  </si>
  <si>
    <t>NC</t>
  </si>
  <si>
    <t>Curaçao</t>
  </si>
  <si>
    <t>CW</t>
  </si>
  <si>
    <t>Ukraine</t>
  </si>
  <si>
    <t>UA</t>
  </si>
  <si>
    <t>Anguilla</t>
  </si>
  <si>
    <t>AI</t>
  </si>
  <si>
    <t>Martinique</t>
  </si>
  <si>
    <t>MQ</t>
  </si>
  <si>
    <t>Dominican Republic</t>
  </si>
  <si>
    <t>DO</t>
  </si>
  <si>
    <t>Dominica</t>
  </si>
  <si>
    <t>DM</t>
  </si>
  <si>
    <t>Montserrat</t>
  </si>
  <si>
    <t>MS</t>
  </si>
  <si>
    <t>Vietnam</t>
  </si>
  <si>
    <t>VN</t>
  </si>
  <si>
    <t>Belarus</t>
  </si>
  <si>
    <t>BY</t>
  </si>
  <si>
    <t>Ecuador</t>
  </si>
  <si>
    <t>EC</t>
  </si>
  <si>
    <t>Bosnia and Herzegovina</t>
  </si>
  <si>
    <t>BA</t>
  </si>
  <si>
    <t>Paraguay</t>
  </si>
  <si>
    <t>PY</t>
  </si>
  <si>
    <t>Mexico</t>
  </si>
  <si>
    <t>MX</t>
  </si>
  <si>
    <t>Greenland</t>
  </si>
  <si>
    <t>GL</t>
  </si>
  <si>
    <t>French Guiana</t>
  </si>
  <si>
    <t>GF</t>
  </si>
  <si>
    <t>Jordan</t>
  </si>
  <si>
    <t>JO</t>
  </si>
  <si>
    <t>South Africa</t>
  </si>
  <si>
    <t>ZA</t>
  </si>
  <si>
    <t>Belize</t>
  </si>
  <si>
    <t>BZ</t>
  </si>
  <si>
    <t>Croatia</t>
  </si>
  <si>
    <t>HR</t>
  </si>
  <si>
    <t>Saudi Arabia</t>
  </si>
  <si>
    <t>SA</t>
  </si>
  <si>
    <t>China</t>
  </si>
  <si>
    <t>CN</t>
  </si>
  <si>
    <t>Guatemala</t>
  </si>
  <si>
    <t>GT</t>
  </si>
  <si>
    <t>Eswatini</t>
  </si>
  <si>
    <t>SZ</t>
  </si>
  <si>
    <t>Guam</t>
  </si>
  <si>
    <t>GU</t>
  </si>
  <si>
    <t>El Salvador</t>
  </si>
  <si>
    <t>SV</t>
  </si>
  <si>
    <t>Nicaragua</t>
  </si>
  <si>
    <t>NI</t>
  </si>
  <si>
    <t>Antigua and Barbuda</t>
  </si>
  <si>
    <t>AG</t>
  </si>
  <si>
    <t>Turkey</t>
  </si>
  <si>
    <t>TR</t>
  </si>
  <si>
    <t>Rwanda</t>
  </si>
  <si>
    <t>RW</t>
  </si>
  <si>
    <t>Mauritius</t>
  </si>
  <si>
    <t>MU</t>
  </si>
  <si>
    <t>Albania</t>
  </si>
  <si>
    <t>AL</t>
  </si>
  <si>
    <t>Northern Mariana Islands</t>
  </si>
  <si>
    <t>MP</t>
  </si>
  <si>
    <t>Botswana</t>
  </si>
  <si>
    <t>BW</t>
  </si>
  <si>
    <t>Guyana</t>
  </si>
  <si>
    <t>GY</t>
  </si>
  <si>
    <t>Nigeria</t>
  </si>
  <si>
    <t>NG</t>
  </si>
  <si>
    <t>Maldives</t>
  </si>
  <si>
    <t>MV</t>
  </si>
  <si>
    <t>Marshall Islands</t>
  </si>
  <si>
    <t>MH</t>
  </si>
  <si>
    <t>Armenia</t>
  </si>
  <si>
    <t>AM</t>
  </si>
  <si>
    <t>Nepal</t>
  </si>
  <si>
    <t>NP</t>
  </si>
  <si>
    <t>Bonaire Sint Eustatius and Saba</t>
  </si>
  <si>
    <t>BQ</t>
  </si>
  <si>
    <t>Palestine</t>
  </si>
  <si>
    <t>PS</t>
  </si>
  <si>
    <t>Laos</t>
  </si>
  <si>
    <t>LA</t>
  </si>
  <si>
    <t>Cambodia</t>
  </si>
  <si>
    <t>KH</t>
  </si>
  <si>
    <t>Venezuela</t>
  </si>
  <si>
    <t>VE</t>
  </si>
  <si>
    <t>Madagascar</t>
  </si>
  <si>
    <t>MG</t>
  </si>
  <si>
    <t>Honduras</t>
  </si>
  <si>
    <t>HN</t>
  </si>
  <si>
    <t>Bhutan</t>
  </si>
  <si>
    <t>BT</t>
  </si>
  <si>
    <t>Uzbekistan</t>
  </si>
  <si>
    <t>UZ</t>
  </si>
  <si>
    <t>Georgia</t>
  </si>
  <si>
    <t>GE</t>
  </si>
  <si>
    <t>Lesotho</t>
  </si>
  <si>
    <t>LS</t>
  </si>
  <si>
    <t>Bolivia</t>
  </si>
  <si>
    <t>BO</t>
  </si>
  <si>
    <t>Seychelles</t>
  </si>
  <si>
    <t>SC</t>
  </si>
  <si>
    <t>Morocco</t>
  </si>
  <si>
    <t>MA</t>
  </si>
  <si>
    <t>NORTHERN AFRICA</t>
  </si>
  <si>
    <t>Indonesia</t>
  </si>
  <si>
    <t>ID</t>
  </si>
  <si>
    <t>Mongolia</t>
  </si>
  <si>
    <t>MN</t>
  </si>
  <si>
    <t>Sri Lanka</t>
  </si>
  <si>
    <t>LK</t>
  </si>
  <si>
    <t>Sint Maarten</t>
  </si>
  <si>
    <t>SX</t>
  </si>
  <si>
    <t>Samoa</t>
  </si>
  <si>
    <t>WS</t>
  </si>
  <si>
    <t>Ivory Coast</t>
  </si>
  <si>
    <t>CI</t>
  </si>
  <si>
    <t>São Tomé and Príncipe</t>
  </si>
  <si>
    <t>ST</t>
  </si>
  <si>
    <t>Zimbabwe</t>
  </si>
  <si>
    <t>ZW</t>
  </si>
  <si>
    <t>Ghana</t>
  </si>
  <si>
    <t>GH</t>
  </si>
  <si>
    <t>Congo Republic</t>
  </si>
  <si>
    <t>CG</t>
  </si>
  <si>
    <t>American Samoa</t>
  </si>
  <si>
    <t>AS</t>
  </si>
  <si>
    <t>Burkina Faso</t>
  </si>
  <si>
    <t>BF</t>
  </si>
  <si>
    <t>Benin</t>
  </si>
  <si>
    <t>BJ</t>
  </si>
  <si>
    <t>Papua New Guinea</t>
  </si>
  <si>
    <t>PG</t>
  </si>
  <si>
    <t>Gabon</t>
  </si>
  <si>
    <t>GA</t>
  </si>
  <si>
    <t>Mayotte</t>
  </si>
  <si>
    <t>YT</t>
  </si>
  <si>
    <t>Mozambique</t>
  </si>
  <si>
    <t>MZ</t>
  </si>
  <si>
    <t>French Polynesia</t>
  </si>
  <si>
    <t>PF</t>
  </si>
  <si>
    <t>Kazakhstan</t>
  </si>
  <si>
    <t>KZ</t>
  </si>
  <si>
    <t>Azerbaijan</t>
  </si>
  <si>
    <t>AZ</t>
  </si>
  <si>
    <t>Suriname</t>
  </si>
  <si>
    <t>SR</t>
  </si>
  <si>
    <t>Kenya</t>
  </si>
  <si>
    <t>KE</t>
  </si>
  <si>
    <t>Uganda</t>
  </si>
  <si>
    <t>UG</t>
  </si>
  <si>
    <t>Fiji</t>
  </si>
  <si>
    <t>FJ</t>
  </si>
  <si>
    <t>Myanmar</t>
  </si>
  <si>
    <t>MM</t>
  </si>
  <si>
    <t>Tanzania</t>
  </si>
  <si>
    <t>TZ</t>
  </si>
  <si>
    <t>Haiti</t>
  </si>
  <si>
    <t>HT</t>
  </si>
  <si>
    <t>Malawi</t>
  </si>
  <si>
    <t>MW</t>
  </si>
  <si>
    <t>DR Congo</t>
  </si>
  <si>
    <t>CD</t>
  </si>
  <si>
    <t>Angola</t>
  </si>
  <si>
    <t>AO</t>
  </si>
  <si>
    <t>Egypt</t>
  </si>
  <si>
    <t>EG</t>
  </si>
  <si>
    <t>Liberia</t>
  </si>
  <si>
    <t>LR</t>
  </si>
  <si>
    <t>Algeria</t>
  </si>
  <si>
    <t>DZ</t>
  </si>
  <si>
    <t>Senegal</t>
  </si>
  <si>
    <t>SN</t>
  </si>
  <si>
    <t>Solomon Islands</t>
  </si>
  <si>
    <t>SB</t>
  </si>
  <si>
    <t>Namibia</t>
  </si>
  <si>
    <t>NA</t>
  </si>
  <si>
    <t>Cabo Verde</t>
  </si>
  <si>
    <t>CV</t>
  </si>
  <si>
    <t>Kyrgyzstan</t>
  </si>
  <si>
    <t>KG</t>
  </si>
  <si>
    <t>Tunisia</t>
  </si>
  <si>
    <t>TN</t>
  </si>
  <si>
    <t>Mauritania</t>
  </si>
  <si>
    <t>MR</t>
  </si>
  <si>
    <t>Togo</t>
  </si>
  <si>
    <t>TG</t>
  </si>
  <si>
    <t>Chad</t>
  </si>
  <si>
    <t>TD</t>
  </si>
  <si>
    <t>Iraq</t>
  </si>
  <si>
    <t>IQ</t>
  </si>
  <si>
    <t>Palau</t>
  </si>
  <si>
    <t>PW</t>
  </si>
  <si>
    <t>Iran</t>
  </si>
  <si>
    <t>IR</t>
  </si>
  <si>
    <t>Lebanon</t>
  </si>
  <si>
    <t>LB</t>
  </si>
  <si>
    <t>Bangladesh</t>
  </si>
  <si>
    <t>BD</t>
  </si>
  <si>
    <t>Zambia</t>
  </si>
  <si>
    <t>ZM</t>
  </si>
  <si>
    <t>Guinea</t>
  </si>
  <si>
    <t>GN</t>
  </si>
  <si>
    <t>Comoros</t>
  </si>
  <si>
    <t>KM</t>
  </si>
  <si>
    <t>Libya</t>
  </si>
  <si>
    <t>LY</t>
  </si>
  <si>
    <t>Cameroon</t>
  </si>
  <si>
    <t>CM</t>
  </si>
  <si>
    <t>Pakistan</t>
  </si>
  <si>
    <t>PK</t>
  </si>
  <si>
    <t>Vanuatu</t>
  </si>
  <si>
    <t>VU</t>
  </si>
  <si>
    <t>Mali</t>
  </si>
  <si>
    <t>ML</t>
  </si>
  <si>
    <t>South Sudan</t>
  </si>
  <si>
    <t>SS</t>
  </si>
  <si>
    <t>Sierra Leone</t>
  </si>
  <si>
    <t>SL</t>
  </si>
  <si>
    <t>Djibouti</t>
  </si>
  <si>
    <t>DJ</t>
  </si>
  <si>
    <t>Somalia</t>
  </si>
  <si>
    <t>SO</t>
  </si>
  <si>
    <t>Burundi</t>
  </si>
  <si>
    <t>BI</t>
  </si>
  <si>
    <t>Timor-Leste</t>
  </si>
  <si>
    <t>TL</t>
  </si>
  <si>
    <t>Guinea-Bissau</t>
  </si>
  <si>
    <t>GW</t>
  </si>
  <si>
    <t>Falkland Islands</t>
  </si>
  <si>
    <t>FK</t>
  </si>
  <si>
    <t>Gambia</t>
  </si>
  <si>
    <t>GM</t>
  </si>
  <si>
    <t>Federated States of Micronesia</t>
  </si>
  <si>
    <t>FM</t>
  </si>
  <si>
    <t>Equatorial Guinea</t>
  </si>
  <si>
    <t>GQ</t>
  </si>
  <si>
    <t>Niger</t>
  </si>
  <si>
    <t>NE</t>
  </si>
  <si>
    <t>Wallis and Futuna</t>
  </si>
  <si>
    <t>WF</t>
  </si>
  <si>
    <t>Eritrea</t>
  </si>
  <si>
    <t>ER</t>
  </si>
  <si>
    <t>Cuba</t>
  </si>
  <si>
    <t>CU</t>
  </si>
  <si>
    <t>Ethiopia</t>
  </si>
  <si>
    <t>ET</t>
  </si>
  <si>
    <t>Central African Republic</t>
  </si>
  <si>
    <t>CF</t>
  </si>
  <si>
    <t>Sudan</t>
  </si>
  <si>
    <t>SD</t>
  </si>
  <si>
    <t>Afghanistan</t>
  </si>
  <si>
    <t>AF</t>
  </si>
  <si>
    <t>Tajikistan</t>
  </si>
  <si>
    <t>TJ</t>
  </si>
  <si>
    <t>Yemen</t>
  </si>
  <si>
    <t>YE</t>
  </si>
  <si>
    <t>Syria</t>
  </si>
  <si>
    <t>SY</t>
  </si>
  <si>
    <t>Turkmenistan</t>
  </si>
  <si>
    <t>TM</t>
  </si>
  <si>
    <t>British Indian Ocean Territory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</si>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</sst>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2"/>
      <color theme="1"/>
      <name val="Calibri"/>
      <scheme val="minor"/>
    </font>
    <font>
      <b/>
      <sz val="18"/>
      <color theme="1"/>
      <name val="Arial"/>
    </font>
    <font>
      <sz val="10"/>
      <color theme="1"/>
      <name val="Arial"/>
    </font>
    <font>
      <sz val="12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1"/>
      <color rgb="FF000000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2" borderId="0" xfId="0" applyNumberFormat="1" applyFont="1" applyFill="1" applyAlignment="1">
      <alignment textRotation="90" wrapText="1"/>
    </xf>
    <xf numFmtId="0" fontId="1" fillId="2" borderId="0" xfId="0" applyFont="1" applyFill="1" applyAlignment="1">
      <alignment textRotation="90" wrapText="1"/>
    </xf>
    <xf numFmtId="0" fontId="2" fillId="0" borderId="1" xfId="0" applyFont="1" applyBorder="1"/>
    <xf numFmtId="0" fontId="3" fillId="0" borderId="1" xfId="0" applyFont="1" applyBorder="1"/>
    <xf numFmtId="0" fontId="4" fillId="3" borderId="0" xfId="0" applyFont="1" applyFill="1"/>
    <xf numFmtId="2" fontId="4" fillId="3" borderId="0" xfId="0" applyNumberFormat="1" applyFont="1" applyFill="1"/>
    <xf numFmtId="4" fontId="4" fillId="3" borderId="0" xfId="0" applyNumberFormat="1" applyFont="1" applyFill="1"/>
    <xf numFmtId="1" fontId="4" fillId="3" borderId="0" xfId="0" applyNumberFormat="1" applyFont="1" applyFill="1"/>
    <xf numFmtId="21" fontId="4" fillId="3" borderId="0" xfId="0" applyNumberFormat="1" applyFont="1" applyFill="1"/>
    <xf numFmtId="0" fontId="5" fillId="4" borderId="1" xfId="0" applyFont="1" applyFill="1" applyBorder="1"/>
    <xf numFmtId="0" fontId="3" fillId="4" borderId="1" xfId="0" applyFont="1" applyFill="1" applyBorder="1"/>
    <xf numFmtId="0" fontId="4" fillId="5" borderId="0" xfId="0" applyFont="1" applyFill="1"/>
    <xf numFmtId="2" fontId="4" fillId="5" borderId="0" xfId="0" applyNumberFormat="1" applyFont="1" applyFill="1"/>
    <xf numFmtId="4" fontId="4" fillId="5" borderId="0" xfId="0" applyNumberFormat="1" applyFont="1" applyFill="1"/>
    <xf numFmtId="1" fontId="4" fillId="5" borderId="0" xfId="0" applyNumberFormat="1" applyFont="1" applyFill="1"/>
    <xf numFmtId="21" fontId="4" fillId="5" borderId="0" xfId="0" applyNumberFormat="1" applyFont="1" applyFill="1"/>
    <xf numFmtId="0" fontId="6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0" fontId="6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21" fontId="7" fillId="3" borderId="1" xfId="0" applyNumberFormat="1" applyFont="1" applyFill="1" applyBorder="1"/>
    <xf numFmtId="3" fontId="4" fillId="3" borderId="0" xfId="0" applyNumberFormat="1" applyFont="1" applyFill="1"/>
    <xf numFmtId="3" fontId="4" fillId="5" borderId="0" xfId="0" applyNumberFormat="1" applyFont="1" applyFill="1"/>
  </cellXfs>
  <cellStyles count="1">
    <cellStyle name="Normal" xfId="0" builtinId="0"/>
  </cellStyles>
  <dxfs count="42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4">
    <tableStyle name="Region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Regions-style 2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Regions-style 3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Regions-style 4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Regions-style 5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Regions-style 6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Regions-style 7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Regions-style 8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Regions-style 9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Regions-style 10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Regions-style 11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Regions-style 12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Regions-style 13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Regions-style 14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0"/>
  <sheetViews>
    <sheetView tabSelected="1" workbookViewId="0">
      <pane ySplit="1" topLeftCell="A2" activePane="bottomLeft" state="frozen"/>
      <selection pane="bottomLeft" activeCell="J17" sqref="J17"/>
    </sheetView>
  </sheetViews>
  <sheetFormatPr defaultColWidth="14.3984375" defaultRowHeight="15" customHeight="1" x14ac:dyDescent="0.3"/>
  <cols>
    <col min="1" max="1" width="6.3984375" customWidth="1"/>
    <col min="2" max="2" width="49.09765625" customWidth="1"/>
    <col min="3" max="3" width="6.09765625" customWidth="1"/>
    <col min="4" max="4" width="21.8984375" customWidth="1"/>
    <col min="5" max="5" width="15.8984375" customWidth="1"/>
    <col min="6" max="8" width="16.3984375" customWidth="1"/>
    <col min="9" max="9" width="5.8984375" customWidth="1"/>
    <col min="10" max="10" width="61.09765625" customWidth="1"/>
  </cols>
  <sheetData>
    <row r="1" spans="1:11" ht="136.5" customHeight="1" x14ac:dyDescent="0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8</v>
      </c>
      <c r="K1" s="4"/>
    </row>
    <row r="2" spans="1:11" ht="15.75" customHeight="1" x14ac:dyDescent="0.4">
      <c r="A2" s="5">
        <v>1</v>
      </c>
      <c r="B2" s="5" t="s">
        <v>9</v>
      </c>
      <c r="C2" s="5" t="s">
        <v>10</v>
      </c>
      <c r="D2" s="6" t="s">
        <v>11</v>
      </c>
      <c r="E2" s="7">
        <v>279.55</v>
      </c>
      <c r="F2" s="8">
        <v>4485</v>
      </c>
      <c r="G2" s="8">
        <v>49354</v>
      </c>
      <c r="H2" s="9">
        <f t="shared" ref="H2:H230" si="0">SUM(5120/(E2/8))/(24*60*60)</f>
        <v>1.695847161774545E-3</v>
      </c>
      <c r="J2" s="10" t="s">
        <v>12</v>
      </c>
      <c r="K2" s="11"/>
    </row>
    <row r="3" spans="1:11" ht="15.75" customHeight="1" x14ac:dyDescent="0.35">
      <c r="A3" s="12">
        <v>2</v>
      </c>
      <c r="B3" s="12" t="s">
        <v>13</v>
      </c>
      <c r="C3" s="12" t="s">
        <v>14</v>
      </c>
      <c r="D3" s="13" t="s">
        <v>11</v>
      </c>
      <c r="E3" s="14">
        <v>273.51</v>
      </c>
      <c r="F3" s="15">
        <v>2131</v>
      </c>
      <c r="G3" s="15">
        <v>43504</v>
      </c>
      <c r="H3" s="16">
        <f t="shared" si="0"/>
        <v>1.7332970424265078E-3</v>
      </c>
      <c r="J3" s="17" t="s">
        <v>15</v>
      </c>
      <c r="K3" s="18">
        <f>SUM(G2:G230)</f>
        <v>1505587796</v>
      </c>
    </row>
    <row r="4" spans="1:11" ht="15.75" customHeight="1" x14ac:dyDescent="0.35">
      <c r="A4" s="5">
        <v>3</v>
      </c>
      <c r="B4" s="5" t="s">
        <v>16</v>
      </c>
      <c r="C4" s="5" t="s">
        <v>17</v>
      </c>
      <c r="D4" s="6" t="s">
        <v>18</v>
      </c>
      <c r="E4" s="7">
        <v>234.74</v>
      </c>
      <c r="F4" s="8">
        <v>2466</v>
      </c>
      <c r="G4" s="8">
        <v>11208</v>
      </c>
      <c r="H4" s="9">
        <f t="shared" si="0"/>
        <v>2.019570904294428E-3</v>
      </c>
      <c r="J4" s="19" t="s">
        <v>19</v>
      </c>
      <c r="K4" s="20">
        <f>SUM(F2:F230)</f>
        <v>388165683</v>
      </c>
    </row>
    <row r="5" spans="1:11" ht="15.75" customHeight="1" x14ac:dyDescent="0.35">
      <c r="A5" s="12">
        <v>4</v>
      </c>
      <c r="B5" s="12" t="s">
        <v>20</v>
      </c>
      <c r="C5" s="12" t="s">
        <v>21</v>
      </c>
      <c r="D5" s="13" t="s">
        <v>11</v>
      </c>
      <c r="E5" s="14">
        <v>222.98</v>
      </c>
      <c r="F5" s="15">
        <v>1253</v>
      </c>
      <c r="G5" s="15">
        <v>4507</v>
      </c>
      <c r="H5" s="16">
        <f t="shared" si="0"/>
        <v>2.1260833889769223E-3</v>
      </c>
      <c r="J5" s="17" t="s">
        <v>22</v>
      </c>
      <c r="K5" s="21">
        <f>AVERAGE(E2:E230)</f>
        <v>55.580218340611381</v>
      </c>
    </row>
    <row r="6" spans="1:11" ht="15.75" customHeight="1" x14ac:dyDescent="0.55000000000000004">
      <c r="A6" s="5">
        <v>5</v>
      </c>
      <c r="B6" s="5" t="s">
        <v>23</v>
      </c>
      <c r="C6" s="5" t="s">
        <v>24</v>
      </c>
      <c r="D6" s="6" t="s">
        <v>11</v>
      </c>
      <c r="E6" s="7">
        <v>210.51</v>
      </c>
      <c r="F6" s="8">
        <v>53750</v>
      </c>
      <c r="G6" s="8">
        <v>465568</v>
      </c>
      <c r="H6" s="9">
        <f t="shared" si="0"/>
        <v>2.252026383896604E-3</v>
      </c>
      <c r="J6" s="19" t="s">
        <v>25</v>
      </c>
      <c r="K6" s="22">
        <f>AVERAGE(H4:H230)</f>
        <v>2.6861867901441055E-2</v>
      </c>
    </row>
    <row r="7" spans="1:11" ht="15.75" customHeight="1" x14ac:dyDescent="0.35">
      <c r="A7" s="12">
        <v>6</v>
      </c>
      <c r="B7" s="12" t="s">
        <v>26</v>
      </c>
      <c r="C7" s="12" t="s">
        <v>27</v>
      </c>
      <c r="D7" s="13" t="s">
        <v>11</v>
      </c>
      <c r="E7" s="14">
        <v>199.89</v>
      </c>
      <c r="F7" s="15">
        <v>1879</v>
      </c>
      <c r="G7" s="15">
        <v>13629</v>
      </c>
      <c r="H7" s="16">
        <f t="shared" si="0"/>
        <v>2.3716747915056989E-3</v>
      </c>
    </row>
    <row r="8" spans="1:11" ht="15.75" customHeight="1" x14ac:dyDescent="0.35">
      <c r="A8" s="5">
        <v>7</v>
      </c>
      <c r="B8" s="5" t="s">
        <v>28</v>
      </c>
      <c r="C8" s="5" t="s">
        <v>29</v>
      </c>
      <c r="D8" s="6" t="s">
        <v>11</v>
      </c>
      <c r="E8" s="7">
        <v>188.49</v>
      </c>
      <c r="F8" s="8">
        <v>1711954</v>
      </c>
      <c r="G8" s="8">
        <v>8212415</v>
      </c>
      <c r="H8" s="9">
        <f t="shared" si="0"/>
        <v>2.5151152531915433E-3</v>
      </c>
    </row>
    <row r="9" spans="1:11" ht="15.75" customHeight="1" x14ac:dyDescent="0.35">
      <c r="A9" s="12">
        <v>8</v>
      </c>
      <c r="B9" s="12" t="s">
        <v>30</v>
      </c>
      <c r="C9" s="12" t="s">
        <v>31</v>
      </c>
      <c r="D9" s="13" t="s">
        <v>11</v>
      </c>
      <c r="E9" s="14">
        <v>180.91</v>
      </c>
      <c r="F9" s="15">
        <v>711</v>
      </c>
      <c r="G9" s="15">
        <v>8368</v>
      </c>
      <c r="H9" s="16">
        <f t="shared" si="0"/>
        <v>2.6204967888678022E-3</v>
      </c>
    </row>
    <row r="10" spans="1:11" ht="15.75" customHeight="1" x14ac:dyDescent="0.35">
      <c r="A10" s="5">
        <v>9</v>
      </c>
      <c r="B10" s="5" t="s">
        <v>32</v>
      </c>
      <c r="C10" s="5" t="s">
        <v>33</v>
      </c>
      <c r="D10" s="6" t="s">
        <v>11</v>
      </c>
      <c r="E10" s="7">
        <v>176.97</v>
      </c>
      <c r="F10" s="8">
        <v>11296869</v>
      </c>
      <c r="G10" s="8">
        <v>26782068</v>
      </c>
      <c r="H10" s="9">
        <f t="shared" si="0"/>
        <v>2.6788386397359667E-3</v>
      </c>
    </row>
    <row r="11" spans="1:11" ht="15.75" customHeight="1" x14ac:dyDescent="0.35">
      <c r="A11" s="12">
        <v>10</v>
      </c>
      <c r="B11" s="12" t="s">
        <v>34</v>
      </c>
      <c r="C11" s="12" t="s">
        <v>35</v>
      </c>
      <c r="D11" s="13" t="s">
        <v>11</v>
      </c>
      <c r="E11" s="14">
        <v>173.79</v>
      </c>
      <c r="F11" s="15">
        <v>1742</v>
      </c>
      <c r="G11" s="15">
        <v>11549</v>
      </c>
      <c r="H11" s="16">
        <f t="shared" si="0"/>
        <v>2.7278558839638305E-3</v>
      </c>
    </row>
    <row r="12" spans="1:11" ht="15.75" customHeight="1" x14ac:dyDescent="0.35">
      <c r="A12" s="5">
        <v>11</v>
      </c>
      <c r="B12" s="5" t="s">
        <v>36</v>
      </c>
      <c r="C12" s="5" t="s">
        <v>37</v>
      </c>
      <c r="D12" s="6" t="s">
        <v>18</v>
      </c>
      <c r="E12" s="7">
        <v>172.53</v>
      </c>
      <c r="F12" s="8">
        <v>806303</v>
      </c>
      <c r="G12" s="8">
        <v>2708620</v>
      </c>
      <c r="H12" s="9">
        <f t="shared" si="0"/>
        <v>2.7477776275086885E-3</v>
      </c>
    </row>
    <row r="13" spans="1:11" ht="15.75" customHeight="1" x14ac:dyDescent="0.35">
      <c r="A13" s="12">
        <v>12</v>
      </c>
      <c r="B13" s="12" t="s">
        <v>38</v>
      </c>
      <c r="C13" s="12" t="s">
        <v>39</v>
      </c>
      <c r="D13" s="13" t="s">
        <v>40</v>
      </c>
      <c r="E13" s="14">
        <v>161.97</v>
      </c>
      <c r="F13" s="15">
        <v>79587539</v>
      </c>
      <c r="G13" s="15">
        <v>362192554</v>
      </c>
      <c r="H13" s="16">
        <f t="shared" si="0"/>
        <v>2.9269251964812869E-3</v>
      </c>
    </row>
    <row r="14" spans="1:11" ht="15.75" customHeight="1" x14ac:dyDescent="0.35">
      <c r="A14" s="5">
        <v>13</v>
      </c>
      <c r="B14" s="5" t="s">
        <v>41</v>
      </c>
      <c r="C14" s="5" t="s">
        <v>42</v>
      </c>
      <c r="D14" s="6" t="s">
        <v>11</v>
      </c>
      <c r="E14" s="7">
        <v>161.88</v>
      </c>
      <c r="F14" s="8">
        <v>275769</v>
      </c>
      <c r="G14" s="8">
        <v>2260147</v>
      </c>
      <c r="H14" s="9">
        <f t="shared" si="0"/>
        <v>2.9285524714237343E-3</v>
      </c>
    </row>
    <row r="15" spans="1:11" ht="15.75" customHeight="1" x14ac:dyDescent="0.35">
      <c r="A15" s="12">
        <v>14</v>
      </c>
      <c r="B15" s="12" t="s">
        <v>43</v>
      </c>
      <c r="C15" s="12" t="s">
        <v>44</v>
      </c>
      <c r="D15" s="13" t="s">
        <v>45</v>
      </c>
      <c r="E15" s="14">
        <v>156.99</v>
      </c>
      <c r="F15" s="15">
        <v>41462</v>
      </c>
      <c r="G15" s="15">
        <v>66860</v>
      </c>
      <c r="H15" s="16">
        <f t="shared" si="0"/>
        <v>3.0197724318368944E-3</v>
      </c>
    </row>
    <row r="16" spans="1:11" ht="15.75" customHeight="1" x14ac:dyDescent="0.35">
      <c r="A16" s="5">
        <v>15</v>
      </c>
      <c r="B16" s="5" t="s">
        <v>46</v>
      </c>
      <c r="C16" s="5" t="s">
        <v>47</v>
      </c>
      <c r="D16" s="6" t="s">
        <v>11</v>
      </c>
      <c r="E16" s="7">
        <v>156.41999999999999</v>
      </c>
      <c r="F16" s="8">
        <v>428100</v>
      </c>
      <c r="G16" s="8">
        <v>2037121</v>
      </c>
      <c r="H16" s="9">
        <f t="shared" si="0"/>
        <v>3.0307765891450845E-3</v>
      </c>
    </row>
    <row r="17" spans="1:8" ht="15.75" customHeight="1" x14ac:dyDescent="0.35">
      <c r="A17" s="12">
        <v>16</v>
      </c>
      <c r="B17" s="12" t="s">
        <v>48</v>
      </c>
      <c r="C17" s="12" t="s">
        <v>49</v>
      </c>
      <c r="D17" s="13" t="s">
        <v>50</v>
      </c>
      <c r="E17" s="14">
        <v>153.61000000000001</v>
      </c>
      <c r="F17" s="15">
        <v>83051</v>
      </c>
      <c r="G17" s="15">
        <v>323358</v>
      </c>
      <c r="H17" s="16">
        <f t="shared" si="0"/>
        <v>3.0862188273815118E-3</v>
      </c>
    </row>
    <row r="18" spans="1:8" ht="15.75" customHeight="1" x14ac:dyDescent="0.35">
      <c r="A18" s="5">
        <v>17</v>
      </c>
      <c r="B18" s="5" t="s">
        <v>51</v>
      </c>
      <c r="C18" s="5" t="s">
        <v>52</v>
      </c>
      <c r="D18" s="6" t="s">
        <v>40</v>
      </c>
      <c r="E18" s="7">
        <v>152.25</v>
      </c>
      <c r="F18" s="8">
        <v>9956564</v>
      </c>
      <c r="G18" s="8">
        <v>36319951</v>
      </c>
      <c r="H18" s="9">
        <f t="shared" si="0"/>
        <v>3.1137870218329992E-3</v>
      </c>
    </row>
    <row r="19" spans="1:8" ht="15.75" customHeight="1" x14ac:dyDescent="0.35">
      <c r="A19" s="12">
        <v>18</v>
      </c>
      <c r="B19" s="12" t="s">
        <v>53</v>
      </c>
      <c r="C19" s="12" t="s">
        <v>54</v>
      </c>
      <c r="D19" s="13" t="s">
        <v>11</v>
      </c>
      <c r="E19" s="14">
        <v>148.63</v>
      </c>
      <c r="F19" s="15">
        <v>4381935</v>
      </c>
      <c r="G19" s="15">
        <v>24028040</v>
      </c>
      <c r="H19" s="16">
        <f t="shared" si="0"/>
        <v>3.1896257422732565E-3</v>
      </c>
    </row>
    <row r="20" spans="1:8" ht="15.75" customHeight="1" x14ac:dyDescent="0.35">
      <c r="A20" s="5">
        <v>19</v>
      </c>
      <c r="B20" s="5" t="s">
        <v>55</v>
      </c>
      <c r="C20" s="5" t="s">
        <v>56</v>
      </c>
      <c r="D20" s="6" t="s">
        <v>57</v>
      </c>
      <c r="E20" s="7">
        <v>145.19</v>
      </c>
      <c r="F20" s="8">
        <v>29044</v>
      </c>
      <c r="G20" s="8">
        <v>214502</v>
      </c>
      <c r="H20" s="9">
        <f t="shared" si="0"/>
        <v>3.2651978378268071E-3</v>
      </c>
    </row>
    <row r="21" spans="1:8" ht="15.75" customHeight="1" x14ac:dyDescent="0.35">
      <c r="A21" s="12">
        <v>20</v>
      </c>
      <c r="B21" s="12" t="s">
        <v>58</v>
      </c>
      <c r="C21" s="12" t="s">
        <v>59</v>
      </c>
      <c r="D21" s="13" t="s">
        <v>11</v>
      </c>
      <c r="E21" s="14">
        <v>143.19999999999999</v>
      </c>
      <c r="F21" s="15">
        <v>452</v>
      </c>
      <c r="G21" s="15">
        <v>3377</v>
      </c>
      <c r="H21" s="16">
        <f t="shared" si="0"/>
        <v>3.3105731429753779E-3</v>
      </c>
    </row>
    <row r="22" spans="1:8" ht="15.75" customHeight="1" x14ac:dyDescent="0.35">
      <c r="A22" s="5">
        <v>21</v>
      </c>
      <c r="B22" s="5" t="s">
        <v>60</v>
      </c>
      <c r="C22" s="5" t="s">
        <v>61</v>
      </c>
      <c r="D22" s="6" t="s">
        <v>11</v>
      </c>
      <c r="E22" s="7">
        <v>141.07</v>
      </c>
      <c r="F22" s="8">
        <v>6997</v>
      </c>
      <c r="G22" s="8">
        <v>51081</v>
      </c>
      <c r="H22" s="9">
        <f t="shared" si="0"/>
        <v>3.3605591130224295E-3</v>
      </c>
    </row>
    <row r="23" spans="1:8" ht="15.75" customHeight="1" x14ac:dyDescent="0.35">
      <c r="A23" s="12">
        <v>22</v>
      </c>
      <c r="B23" s="12" t="s">
        <v>62</v>
      </c>
      <c r="C23" s="12" t="s">
        <v>63</v>
      </c>
      <c r="D23" s="13" t="s">
        <v>11</v>
      </c>
      <c r="E23" s="14">
        <v>140.56</v>
      </c>
      <c r="F23" s="15">
        <v>633255</v>
      </c>
      <c r="G23" s="15">
        <v>2017973</v>
      </c>
      <c r="H23" s="16">
        <f t="shared" si="0"/>
        <v>3.3727523767364403E-3</v>
      </c>
    </row>
    <row r="24" spans="1:8" ht="15.75" customHeight="1" x14ac:dyDescent="0.35">
      <c r="A24" s="5">
        <v>23</v>
      </c>
      <c r="B24" s="5" t="s">
        <v>64</v>
      </c>
      <c r="C24" s="5" t="s">
        <v>65</v>
      </c>
      <c r="D24" s="6" t="s">
        <v>18</v>
      </c>
      <c r="E24" s="7">
        <v>139.53</v>
      </c>
      <c r="F24" s="8">
        <v>16040685</v>
      </c>
      <c r="G24" s="8">
        <v>45727031</v>
      </c>
      <c r="H24" s="9">
        <f t="shared" si="0"/>
        <v>3.3976497819398991E-3</v>
      </c>
    </row>
    <row r="25" spans="1:8" ht="15.75" customHeight="1" x14ac:dyDescent="0.35">
      <c r="A25" s="12">
        <v>24</v>
      </c>
      <c r="B25" s="12" t="s">
        <v>66</v>
      </c>
      <c r="C25" s="12" t="s">
        <v>67</v>
      </c>
      <c r="D25" s="13" t="s">
        <v>18</v>
      </c>
      <c r="E25" s="14">
        <v>138.18</v>
      </c>
      <c r="F25" s="15">
        <v>69498</v>
      </c>
      <c r="G25" s="15">
        <v>844805</v>
      </c>
      <c r="H25" s="16">
        <f t="shared" si="0"/>
        <v>3.4308443629618903E-3</v>
      </c>
    </row>
    <row r="26" spans="1:8" ht="15.75" customHeight="1" x14ac:dyDescent="0.35">
      <c r="A26" s="5">
        <v>25</v>
      </c>
      <c r="B26" s="5" t="s">
        <v>68</v>
      </c>
      <c r="C26" s="5" t="s">
        <v>69</v>
      </c>
      <c r="D26" s="6" t="s">
        <v>18</v>
      </c>
      <c r="E26" s="7">
        <v>136.58000000000001</v>
      </c>
      <c r="F26" s="8">
        <v>383169</v>
      </c>
      <c r="G26" s="8">
        <v>1200997</v>
      </c>
      <c r="H26" s="9">
        <f t="shared" si="0"/>
        <v>3.471035833021482E-3</v>
      </c>
    </row>
    <row r="27" spans="1:8" ht="15.75" customHeight="1" x14ac:dyDescent="0.35">
      <c r="A27" s="12">
        <v>26</v>
      </c>
      <c r="B27" s="12" t="s">
        <v>70</v>
      </c>
      <c r="C27" s="12" t="s">
        <v>71</v>
      </c>
      <c r="D27" s="13" t="s">
        <v>18</v>
      </c>
      <c r="E27" s="14">
        <v>134.43</v>
      </c>
      <c r="F27" s="15">
        <v>969997</v>
      </c>
      <c r="G27" s="15">
        <v>7236979</v>
      </c>
      <c r="H27" s="16">
        <f t="shared" si="0"/>
        <v>3.5265496844013541E-3</v>
      </c>
    </row>
    <row r="28" spans="1:8" ht="15.75" customHeight="1" x14ac:dyDescent="0.35">
      <c r="A28" s="5">
        <v>27</v>
      </c>
      <c r="B28" s="5" t="s">
        <v>72</v>
      </c>
      <c r="C28" s="5" t="s">
        <v>73</v>
      </c>
      <c r="D28" s="6" t="s">
        <v>11</v>
      </c>
      <c r="E28" s="7">
        <v>124.78</v>
      </c>
      <c r="F28" s="8">
        <v>1802381</v>
      </c>
      <c r="G28" s="8">
        <v>5599620</v>
      </c>
      <c r="H28" s="9">
        <f t="shared" si="0"/>
        <v>3.7992793242031904E-3</v>
      </c>
    </row>
    <row r="29" spans="1:8" ht="15.75" customHeight="1" x14ac:dyDescent="0.35">
      <c r="A29" s="12">
        <v>28</v>
      </c>
      <c r="B29" s="12" t="s">
        <v>74</v>
      </c>
      <c r="C29" s="12" t="s">
        <v>75</v>
      </c>
      <c r="D29" s="13" t="s">
        <v>76</v>
      </c>
      <c r="E29" s="14">
        <v>124.01</v>
      </c>
      <c r="F29" s="15">
        <v>730048</v>
      </c>
      <c r="G29" s="15">
        <v>3805985</v>
      </c>
      <c r="H29" s="16">
        <f t="shared" si="0"/>
        <v>3.8228697207811791E-3</v>
      </c>
    </row>
    <row r="30" spans="1:8" ht="15.75" customHeight="1" x14ac:dyDescent="0.35">
      <c r="A30" s="5">
        <v>29</v>
      </c>
      <c r="B30" s="5" t="s">
        <v>77</v>
      </c>
      <c r="C30" s="5" t="s">
        <v>78</v>
      </c>
      <c r="D30" s="6" t="s">
        <v>79</v>
      </c>
      <c r="E30" s="7">
        <v>118.83</v>
      </c>
      <c r="F30" s="8">
        <v>10202</v>
      </c>
      <c r="G30" s="8">
        <v>52238</v>
      </c>
      <c r="H30" s="9">
        <f t="shared" si="0"/>
        <v>3.9895150557441228E-3</v>
      </c>
    </row>
    <row r="31" spans="1:8" ht="15.75" customHeight="1" x14ac:dyDescent="0.35">
      <c r="A31" s="12">
        <v>30</v>
      </c>
      <c r="B31" s="12" t="s">
        <v>80</v>
      </c>
      <c r="C31" s="12" t="s">
        <v>81</v>
      </c>
      <c r="D31" s="13" t="s">
        <v>79</v>
      </c>
      <c r="E31" s="14">
        <v>118.54</v>
      </c>
      <c r="F31" s="15">
        <v>63788</v>
      </c>
      <c r="G31" s="15">
        <v>277959</v>
      </c>
      <c r="H31" s="16">
        <f t="shared" si="0"/>
        <v>3.9992751313824362E-3</v>
      </c>
    </row>
    <row r="32" spans="1:8" ht="15.75" customHeight="1" x14ac:dyDescent="0.35">
      <c r="A32" s="5">
        <v>31</v>
      </c>
      <c r="B32" s="5" t="s">
        <v>82</v>
      </c>
      <c r="C32" s="5" t="s">
        <v>83</v>
      </c>
      <c r="D32" s="6" t="s">
        <v>11</v>
      </c>
      <c r="E32" s="7">
        <v>116.91</v>
      </c>
      <c r="F32" s="8">
        <v>1520682</v>
      </c>
      <c r="G32" s="8">
        <v>4898745</v>
      </c>
      <c r="H32" s="9">
        <f t="shared" si="0"/>
        <v>4.0550344202726378E-3</v>
      </c>
    </row>
    <row r="33" spans="1:8" ht="15.75" customHeight="1" x14ac:dyDescent="0.35">
      <c r="A33" s="12">
        <v>32</v>
      </c>
      <c r="B33" s="12" t="s">
        <v>84</v>
      </c>
      <c r="C33" s="12" t="s">
        <v>85</v>
      </c>
      <c r="D33" s="13" t="s">
        <v>11</v>
      </c>
      <c r="E33" s="14">
        <v>116.58</v>
      </c>
      <c r="F33" s="15">
        <v>1833</v>
      </c>
      <c r="G33" s="15">
        <v>27966</v>
      </c>
      <c r="H33" s="16">
        <f t="shared" si="0"/>
        <v>4.066512901647573E-3</v>
      </c>
    </row>
    <row r="34" spans="1:8" ht="15.75" customHeight="1" x14ac:dyDescent="0.35">
      <c r="A34" s="5">
        <v>33</v>
      </c>
      <c r="B34" s="5" t="s">
        <v>86</v>
      </c>
      <c r="C34" s="5" t="s">
        <v>87</v>
      </c>
      <c r="D34" s="6" t="s">
        <v>88</v>
      </c>
      <c r="E34" s="7">
        <v>113.1</v>
      </c>
      <c r="F34" s="8">
        <v>12540</v>
      </c>
      <c r="G34" s="8">
        <v>76475</v>
      </c>
      <c r="H34" s="9">
        <f t="shared" si="0"/>
        <v>4.1916363755444214E-3</v>
      </c>
    </row>
    <row r="35" spans="1:8" ht="15.75" customHeight="1" x14ac:dyDescent="0.35">
      <c r="A35" s="12">
        <v>34</v>
      </c>
      <c r="B35" s="12" t="s">
        <v>89</v>
      </c>
      <c r="C35" s="12" t="s">
        <v>90</v>
      </c>
      <c r="D35" s="13" t="s">
        <v>57</v>
      </c>
      <c r="E35" s="14">
        <v>112.15</v>
      </c>
      <c r="F35" s="15">
        <v>76310</v>
      </c>
      <c r="G35" s="15">
        <v>805109</v>
      </c>
      <c r="H35" s="16">
        <f t="shared" si="0"/>
        <v>4.227142880731824E-3</v>
      </c>
    </row>
    <row r="36" spans="1:8" ht="15.75" customHeight="1" x14ac:dyDescent="0.35">
      <c r="A36" s="5">
        <v>35</v>
      </c>
      <c r="B36" s="5" t="s">
        <v>91</v>
      </c>
      <c r="C36" s="5" t="s">
        <v>92</v>
      </c>
      <c r="D36" s="6" t="s">
        <v>11</v>
      </c>
      <c r="E36" s="7">
        <v>110.99</v>
      </c>
      <c r="F36" s="8">
        <v>20497154</v>
      </c>
      <c r="G36" s="8">
        <v>96345646</v>
      </c>
      <c r="H36" s="9">
        <f t="shared" si="0"/>
        <v>4.2713224080914861E-3</v>
      </c>
    </row>
    <row r="37" spans="1:8" ht="15.75" customHeight="1" x14ac:dyDescent="0.35">
      <c r="A37" s="12">
        <v>36</v>
      </c>
      <c r="B37" s="12" t="s">
        <v>93</v>
      </c>
      <c r="C37" s="12" t="s">
        <v>94</v>
      </c>
      <c r="D37" s="13" t="s">
        <v>88</v>
      </c>
      <c r="E37" s="14">
        <v>110.74</v>
      </c>
      <c r="F37" s="15">
        <v>21275</v>
      </c>
      <c r="G37" s="15">
        <v>96827</v>
      </c>
      <c r="H37" s="16">
        <f t="shared" si="0"/>
        <v>4.280965090067492E-3</v>
      </c>
    </row>
    <row r="38" spans="1:8" ht="15.75" customHeight="1" x14ac:dyDescent="0.35">
      <c r="A38" s="5">
        <v>37</v>
      </c>
      <c r="B38" s="5" t="s">
        <v>95</v>
      </c>
      <c r="C38" s="5" t="s">
        <v>96</v>
      </c>
      <c r="D38" s="6" t="s">
        <v>40</v>
      </c>
      <c r="E38" s="7">
        <v>107.4</v>
      </c>
      <c r="F38" s="8">
        <v>6288</v>
      </c>
      <c r="G38" s="8">
        <v>59091</v>
      </c>
      <c r="H38" s="9">
        <f t="shared" si="0"/>
        <v>4.4140975239671705E-3</v>
      </c>
    </row>
    <row r="39" spans="1:8" ht="15.75" customHeight="1" x14ac:dyDescent="0.35">
      <c r="A39" s="12">
        <v>38</v>
      </c>
      <c r="B39" s="12" t="s">
        <v>97</v>
      </c>
      <c r="C39" s="12" t="s">
        <v>98</v>
      </c>
      <c r="D39" s="13" t="s">
        <v>57</v>
      </c>
      <c r="E39" s="14">
        <v>105.46</v>
      </c>
      <c r="F39" s="15">
        <v>90034</v>
      </c>
      <c r="G39" s="15">
        <v>528531</v>
      </c>
      <c r="H39" s="16">
        <f t="shared" si="0"/>
        <v>4.4952974973835966E-3</v>
      </c>
    </row>
    <row r="40" spans="1:8" ht="15.75" customHeight="1" x14ac:dyDescent="0.35">
      <c r="A40" s="5">
        <v>39</v>
      </c>
      <c r="B40" s="5" t="s">
        <v>99</v>
      </c>
      <c r="C40" s="5" t="s">
        <v>100</v>
      </c>
      <c r="D40" s="6" t="s">
        <v>57</v>
      </c>
      <c r="E40" s="7">
        <v>104.36</v>
      </c>
      <c r="F40" s="8">
        <v>636823</v>
      </c>
      <c r="G40" s="8">
        <v>2646471</v>
      </c>
      <c r="H40" s="9">
        <f t="shared" si="0"/>
        <v>4.542679897221868E-3</v>
      </c>
    </row>
    <row r="41" spans="1:8" ht="15.75" customHeight="1" x14ac:dyDescent="0.35">
      <c r="A41" s="12">
        <v>40</v>
      </c>
      <c r="B41" s="12" t="s">
        <v>101</v>
      </c>
      <c r="C41" s="12" t="s">
        <v>102</v>
      </c>
      <c r="D41" s="13" t="s">
        <v>11</v>
      </c>
      <c r="E41" s="14">
        <v>102.96</v>
      </c>
      <c r="F41" s="15">
        <v>1581259</v>
      </c>
      <c r="G41" s="15">
        <v>8058538</v>
      </c>
      <c r="H41" s="16">
        <f t="shared" si="0"/>
        <v>4.6044490488934935E-3</v>
      </c>
    </row>
    <row r="42" spans="1:8" ht="15.75" customHeight="1" x14ac:dyDescent="0.35">
      <c r="A42" s="5">
        <v>41</v>
      </c>
      <c r="B42" s="5" t="s">
        <v>103</v>
      </c>
      <c r="C42" s="5" t="s">
        <v>104</v>
      </c>
      <c r="D42" s="6" t="s">
        <v>50</v>
      </c>
      <c r="E42" s="7">
        <v>101.72</v>
      </c>
      <c r="F42" s="8">
        <v>29862</v>
      </c>
      <c r="G42" s="8">
        <v>93360</v>
      </c>
      <c r="H42" s="9">
        <f t="shared" si="0"/>
        <v>4.6605787856279397E-3</v>
      </c>
    </row>
    <row r="43" spans="1:8" ht="15.75" customHeight="1" x14ac:dyDescent="0.35">
      <c r="A43" s="12">
        <v>42</v>
      </c>
      <c r="B43" s="12" t="s">
        <v>105</v>
      </c>
      <c r="C43" s="12" t="s">
        <v>106</v>
      </c>
      <c r="D43" s="13" t="s">
        <v>45</v>
      </c>
      <c r="E43" s="14">
        <v>100.66</v>
      </c>
      <c r="F43" s="15">
        <v>547391</v>
      </c>
      <c r="G43" s="15">
        <v>1928329</v>
      </c>
      <c r="H43" s="16">
        <f t="shared" si="0"/>
        <v>4.7096570045109688E-3</v>
      </c>
    </row>
    <row r="44" spans="1:8" ht="15.75" customHeight="1" x14ac:dyDescent="0.35">
      <c r="A44" s="5">
        <v>43</v>
      </c>
      <c r="B44" s="5" t="s">
        <v>107</v>
      </c>
      <c r="C44" s="5" t="s">
        <v>108</v>
      </c>
      <c r="D44" s="6" t="s">
        <v>50</v>
      </c>
      <c r="E44" s="7">
        <v>99.26</v>
      </c>
      <c r="F44" s="8">
        <v>193750</v>
      </c>
      <c r="G44" s="8">
        <v>499474</v>
      </c>
      <c r="H44" s="9">
        <f t="shared" si="0"/>
        <v>4.7760837605689511E-3</v>
      </c>
    </row>
    <row r="45" spans="1:8" ht="15.75" customHeight="1" x14ac:dyDescent="0.35">
      <c r="A45" s="12">
        <v>44</v>
      </c>
      <c r="B45" s="12" t="s">
        <v>109</v>
      </c>
      <c r="C45" s="12" t="s">
        <v>110</v>
      </c>
      <c r="D45" s="13" t="s">
        <v>79</v>
      </c>
      <c r="E45" s="14">
        <v>97.27</v>
      </c>
      <c r="F45" s="15">
        <v>3625</v>
      </c>
      <c r="G45" s="15">
        <v>33400</v>
      </c>
      <c r="H45" s="16">
        <f t="shared" si="0"/>
        <v>4.8737953539022731E-3</v>
      </c>
    </row>
    <row r="46" spans="1:8" ht="15.75" customHeight="1" x14ac:dyDescent="0.35">
      <c r="A46" s="5">
        <v>45</v>
      </c>
      <c r="B46" s="5" t="s">
        <v>111</v>
      </c>
      <c r="C46" s="5" t="s">
        <v>112</v>
      </c>
      <c r="D46" s="6" t="s">
        <v>88</v>
      </c>
      <c r="E46" s="7">
        <v>95.5</v>
      </c>
      <c r="F46" s="8">
        <v>11526</v>
      </c>
      <c r="G46" s="8">
        <v>53258</v>
      </c>
      <c r="H46" s="9">
        <f t="shared" si="0"/>
        <v>4.9641264300950162E-3</v>
      </c>
    </row>
    <row r="47" spans="1:8" ht="15.75" customHeight="1" x14ac:dyDescent="0.35">
      <c r="A47" s="12">
        <v>46</v>
      </c>
      <c r="B47" s="12" t="s">
        <v>113</v>
      </c>
      <c r="C47" s="12" t="s">
        <v>114</v>
      </c>
      <c r="D47" s="13" t="s">
        <v>11</v>
      </c>
      <c r="E47" s="14">
        <v>95.13</v>
      </c>
      <c r="F47" s="15">
        <v>126672</v>
      </c>
      <c r="G47" s="15">
        <v>717964</v>
      </c>
      <c r="H47" s="16">
        <f t="shared" si="0"/>
        <v>4.9834339753397888E-3</v>
      </c>
    </row>
    <row r="48" spans="1:8" ht="15.75" customHeight="1" x14ac:dyDescent="0.35">
      <c r="A48" s="5">
        <v>47</v>
      </c>
      <c r="B48" s="5" t="s">
        <v>115</v>
      </c>
      <c r="C48" s="5" t="s">
        <v>116</v>
      </c>
      <c r="D48" s="6" t="s">
        <v>45</v>
      </c>
      <c r="E48" s="7">
        <v>92.83</v>
      </c>
      <c r="F48" s="8">
        <v>25205167</v>
      </c>
      <c r="G48" s="8">
        <v>73634358</v>
      </c>
      <c r="H48" s="9">
        <f t="shared" si="0"/>
        <v>5.1069058932896056E-3</v>
      </c>
    </row>
    <row r="49" spans="1:8" ht="15.75" customHeight="1" x14ac:dyDescent="0.35">
      <c r="A49" s="12">
        <v>48</v>
      </c>
      <c r="B49" s="12" t="s">
        <v>117</v>
      </c>
      <c r="C49" s="12" t="s">
        <v>118</v>
      </c>
      <c r="D49" s="13" t="s">
        <v>57</v>
      </c>
      <c r="E49" s="14">
        <v>90.4</v>
      </c>
      <c r="F49" s="15">
        <v>18604</v>
      </c>
      <c r="G49" s="15">
        <v>105606</v>
      </c>
      <c r="H49" s="16">
        <f t="shared" si="0"/>
        <v>5.2441822353326778E-3</v>
      </c>
    </row>
    <row r="50" spans="1:8" ht="15.75" customHeight="1" x14ac:dyDescent="0.35">
      <c r="A50" s="5">
        <v>49</v>
      </c>
      <c r="B50" s="5" t="s">
        <v>119</v>
      </c>
      <c r="C50" s="5" t="s">
        <v>120</v>
      </c>
      <c r="D50" s="6" t="s">
        <v>11</v>
      </c>
      <c r="E50" s="7">
        <v>87.77</v>
      </c>
      <c r="F50" s="8">
        <v>30761187</v>
      </c>
      <c r="G50" s="8">
        <v>72422077</v>
      </c>
      <c r="H50" s="9">
        <f t="shared" si="0"/>
        <v>5.4013224800509747E-3</v>
      </c>
    </row>
    <row r="51" spans="1:8" ht="15.75" customHeight="1" x14ac:dyDescent="0.35">
      <c r="A51" s="12">
        <v>50</v>
      </c>
      <c r="B51" s="12" t="s">
        <v>121</v>
      </c>
      <c r="C51" s="12" t="s">
        <v>122</v>
      </c>
      <c r="D51" s="13" t="s">
        <v>57</v>
      </c>
      <c r="E51" s="14">
        <v>86.36</v>
      </c>
      <c r="F51" s="15">
        <v>530813</v>
      </c>
      <c r="G51" s="15">
        <v>3786018</v>
      </c>
      <c r="H51" s="16">
        <f t="shared" si="0"/>
        <v>5.4895098896951605E-3</v>
      </c>
    </row>
    <row r="52" spans="1:8" ht="15.75" customHeight="1" x14ac:dyDescent="0.35">
      <c r="A52" s="5">
        <v>51</v>
      </c>
      <c r="B52" s="5" t="s">
        <v>123</v>
      </c>
      <c r="C52" s="5" t="s">
        <v>124</v>
      </c>
      <c r="D52" s="6" t="s">
        <v>79</v>
      </c>
      <c r="E52" s="7">
        <v>83.51</v>
      </c>
      <c r="F52" s="8">
        <v>1555</v>
      </c>
      <c r="G52" s="8">
        <v>20417</v>
      </c>
      <c r="H52" s="9">
        <f t="shared" si="0"/>
        <v>5.6768539584968756E-3</v>
      </c>
    </row>
    <row r="53" spans="1:8" ht="15.75" customHeight="1" x14ac:dyDescent="0.35">
      <c r="A53" s="12">
        <v>52</v>
      </c>
      <c r="B53" s="12" t="s">
        <v>125</v>
      </c>
      <c r="C53" s="12" t="s">
        <v>126</v>
      </c>
      <c r="D53" s="13" t="s">
        <v>18</v>
      </c>
      <c r="E53" s="14">
        <v>82.38</v>
      </c>
      <c r="F53" s="15">
        <v>370247</v>
      </c>
      <c r="G53" s="15">
        <v>1289072</v>
      </c>
      <c r="H53" s="16">
        <f t="shared" si="0"/>
        <v>5.7547229190832013E-3</v>
      </c>
    </row>
    <row r="54" spans="1:8" ht="15.75" customHeight="1" x14ac:dyDescent="0.35">
      <c r="A54" s="5">
        <v>53</v>
      </c>
      <c r="B54" s="5" t="s">
        <v>127</v>
      </c>
      <c r="C54" s="5" t="s">
        <v>128</v>
      </c>
      <c r="D54" s="6" t="s">
        <v>79</v>
      </c>
      <c r="E54" s="7">
        <v>79.260000000000005</v>
      </c>
      <c r="F54" s="8">
        <v>2771</v>
      </c>
      <c r="G54" s="8">
        <v>10372</v>
      </c>
      <c r="H54" s="9">
        <f t="shared" si="0"/>
        <v>5.9812525116587694E-3</v>
      </c>
    </row>
    <row r="55" spans="1:8" ht="15.75" customHeight="1" x14ac:dyDescent="0.35">
      <c r="A55" s="12">
        <v>54</v>
      </c>
      <c r="B55" s="12" t="s">
        <v>129</v>
      </c>
      <c r="C55" s="12" t="s">
        <v>130</v>
      </c>
      <c r="D55" s="13" t="s">
        <v>57</v>
      </c>
      <c r="E55" s="14">
        <v>79.09</v>
      </c>
      <c r="F55" s="15">
        <v>12340</v>
      </c>
      <c r="G55" s="15">
        <v>35347</v>
      </c>
      <c r="H55" s="16">
        <f t="shared" si="0"/>
        <v>5.9941089148321421E-3</v>
      </c>
    </row>
    <row r="56" spans="1:8" ht="15.75" customHeight="1" x14ac:dyDescent="0.35">
      <c r="A56" s="5">
        <v>55</v>
      </c>
      <c r="B56" s="5" t="s">
        <v>131</v>
      </c>
      <c r="C56" s="5" t="s">
        <v>132</v>
      </c>
      <c r="D56" s="6" t="s">
        <v>76</v>
      </c>
      <c r="E56" s="7">
        <v>77.989999999999995</v>
      </c>
      <c r="F56" s="8">
        <v>7375095</v>
      </c>
      <c r="G56" s="8">
        <v>29965497</v>
      </c>
      <c r="H56" s="9">
        <f t="shared" si="0"/>
        <v>6.0786520589059378E-3</v>
      </c>
    </row>
    <row r="57" spans="1:8" ht="15.75" customHeight="1" x14ac:dyDescent="0.35">
      <c r="A57" s="12">
        <v>56</v>
      </c>
      <c r="B57" s="12" t="s">
        <v>133</v>
      </c>
      <c r="C57" s="12" t="s">
        <v>134</v>
      </c>
      <c r="D57" s="13" t="s">
        <v>11</v>
      </c>
      <c r="E57" s="14">
        <v>76.64</v>
      </c>
      <c r="F57" s="15">
        <v>12661</v>
      </c>
      <c r="G57" s="15">
        <v>273529</v>
      </c>
      <c r="H57" s="16">
        <f t="shared" si="0"/>
        <v>6.1857264362483576E-3</v>
      </c>
    </row>
    <row r="58" spans="1:8" ht="15.75" customHeight="1" x14ac:dyDescent="0.35">
      <c r="A58" s="5">
        <v>57</v>
      </c>
      <c r="B58" s="5" t="s">
        <v>135</v>
      </c>
      <c r="C58" s="5" t="s">
        <v>136</v>
      </c>
      <c r="D58" s="6" t="s">
        <v>11</v>
      </c>
      <c r="E58" s="7">
        <v>75.63</v>
      </c>
      <c r="F58" s="8">
        <v>1465</v>
      </c>
      <c r="G58" s="8">
        <v>13274</v>
      </c>
      <c r="H58" s="9">
        <f t="shared" si="0"/>
        <v>6.2683336516471521E-3</v>
      </c>
    </row>
    <row r="59" spans="1:8" ht="15.75" customHeight="1" x14ac:dyDescent="0.35">
      <c r="A59" s="12">
        <v>58</v>
      </c>
      <c r="B59" s="12" t="s">
        <v>137</v>
      </c>
      <c r="C59" s="12" t="s">
        <v>138</v>
      </c>
      <c r="D59" s="13" t="s">
        <v>57</v>
      </c>
      <c r="E59" s="14">
        <v>74.41</v>
      </c>
      <c r="F59" s="15">
        <v>499509</v>
      </c>
      <c r="G59" s="15">
        <v>3061709</v>
      </c>
      <c r="H59" s="16">
        <f t="shared" si="0"/>
        <v>6.3711070296206696E-3</v>
      </c>
    </row>
    <row r="60" spans="1:8" ht="15.75" customHeight="1" x14ac:dyDescent="0.35">
      <c r="A60" s="5">
        <v>59</v>
      </c>
      <c r="B60" s="5" t="s">
        <v>139</v>
      </c>
      <c r="C60" s="5" t="s">
        <v>140</v>
      </c>
      <c r="D60" s="6" t="s">
        <v>57</v>
      </c>
      <c r="E60" s="7">
        <v>73.930000000000007</v>
      </c>
      <c r="F60" s="8">
        <v>6087</v>
      </c>
      <c r="G60" s="8">
        <v>24196</v>
      </c>
      <c r="H60" s="9">
        <f t="shared" si="0"/>
        <v>6.4124722585428657E-3</v>
      </c>
    </row>
    <row r="61" spans="1:8" ht="15.75" customHeight="1" x14ac:dyDescent="0.35">
      <c r="A61" s="12">
        <v>60</v>
      </c>
      <c r="B61" s="12" t="s">
        <v>141</v>
      </c>
      <c r="C61" s="12" t="s">
        <v>142</v>
      </c>
      <c r="D61" s="13" t="s">
        <v>57</v>
      </c>
      <c r="E61" s="14">
        <v>73.84</v>
      </c>
      <c r="F61" s="15">
        <v>14737</v>
      </c>
      <c r="G61" s="15">
        <v>50752</v>
      </c>
      <c r="H61" s="16">
        <f t="shared" si="0"/>
        <v>6.4202881104289556E-3</v>
      </c>
    </row>
    <row r="62" spans="1:8" ht="15.75" customHeight="1" x14ac:dyDescent="0.35">
      <c r="A62" s="5">
        <v>61</v>
      </c>
      <c r="B62" s="5" t="s">
        <v>143</v>
      </c>
      <c r="C62" s="5" t="s">
        <v>144</v>
      </c>
      <c r="D62" s="6" t="s">
        <v>57</v>
      </c>
      <c r="E62" s="7">
        <v>72.540000000000006</v>
      </c>
      <c r="F62" s="8">
        <v>210319</v>
      </c>
      <c r="G62" s="8">
        <v>586835</v>
      </c>
      <c r="H62" s="9">
        <f t="shared" si="0"/>
        <v>6.5353470371391515E-3</v>
      </c>
    </row>
    <row r="63" spans="1:8" ht="15.75" customHeight="1" x14ac:dyDescent="0.35">
      <c r="A63" s="12">
        <v>62</v>
      </c>
      <c r="B63" s="12" t="s">
        <v>145</v>
      </c>
      <c r="C63" s="12" t="s">
        <v>146</v>
      </c>
      <c r="D63" s="13" t="s">
        <v>79</v>
      </c>
      <c r="E63" s="14">
        <v>72.489999999999995</v>
      </c>
      <c r="F63" s="15">
        <v>707</v>
      </c>
      <c r="G63" s="15">
        <v>3903</v>
      </c>
      <c r="H63" s="16">
        <f t="shared" si="0"/>
        <v>6.5398547947865095E-3</v>
      </c>
    </row>
    <row r="64" spans="1:8" ht="15.75" customHeight="1" x14ac:dyDescent="0.35">
      <c r="A64" s="5">
        <v>63</v>
      </c>
      <c r="B64" s="5" t="s">
        <v>147</v>
      </c>
      <c r="C64" s="5" t="s">
        <v>148</v>
      </c>
      <c r="D64" s="6" t="s">
        <v>11</v>
      </c>
      <c r="E64" s="7">
        <v>72.45</v>
      </c>
      <c r="F64" s="8">
        <v>9327926</v>
      </c>
      <c r="G64" s="8">
        <v>42084217</v>
      </c>
      <c r="H64" s="9">
        <f t="shared" si="0"/>
        <v>6.5434654806635481E-3</v>
      </c>
    </row>
    <row r="65" spans="1:8" ht="15.75" customHeight="1" x14ac:dyDescent="0.35">
      <c r="A65" s="12">
        <v>64</v>
      </c>
      <c r="B65" s="12" t="s">
        <v>149</v>
      </c>
      <c r="C65" s="12" t="s">
        <v>150</v>
      </c>
      <c r="D65" s="13" t="s">
        <v>79</v>
      </c>
      <c r="E65" s="14">
        <v>72.34</v>
      </c>
      <c r="F65" s="15">
        <v>5834</v>
      </c>
      <c r="G65" s="15">
        <v>37998</v>
      </c>
      <c r="H65" s="16">
        <f t="shared" si="0"/>
        <v>6.5534154558207639E-3</v>
      </c>
    </row>
    <row r="66" spans="1:8" ht="15.75" customHeight="1" x14ac:dyDescent="0.35">
      <c r="A66" s="5">
        <v>65</v>
      </c>
      <c r="B66" s="5" t="s">
        <v>151</v>
      </c>
      <c r="C66" s="5" t="s">
        <v>152</v>
      </c>
      <c r="D66" s="6" t="s">
        <v>79</v>
      </c>
      <c r="E66" s="7">
        <v>71.959999999999994</v>
      </c>
      <c r="F66" s="8">
        <v>713</v>
      </c>
      <c r="G66" s="8">
        <v>4561</v>
      </c>
      <c r="H66" s="9">
        <f t="shared" si="0"/>
        <v>6.5880221522244872E-3</v>
      </c>
    </row>
    <row r="67" spans="1:8" ht="15.75" customHeight="1" x14ac:dyDescent="0.35">
      <c r="A67" s="12">
        <v>66</v>
      </c>
      <c r="B67" s="12" t="s">
        <v>153</v>
      </c>
      <c r="C67" s="12" t="s">
        <v>154</v>
      </c>
      <c r="D67" s="13" t="s">
        <v>18</v>
      </c>
      <c r="E67" s="14">
        <v>67.75</v>
      </c>
      <c r="F67" s="15">
        <v>3617678</v>
      </c>
      <c r="G67" s="15">
        <v>13106360</v>
      </c>
      <c r="H67" s="16">
        <f t="shared" si="0"/>
        <v>6.9974033073664068E-3</v>
      </c>
    </row>
    <row r="68" spans="1:8" ht="15.75" customHeight="1" x14ac:dyDescent="0.35">
      <c r="A68" s="5">
        <v>67</v>
      </c>
      <c r="B68" s="5" t="s">
        <v>155</v>
      </c>
      <c r="C68" s="5" t="s">
        <v>156</v>
      </c>
      <c r="D68" s="6" t="s">
        <v>57</v>
      </c>
      <c r="E68" s="7">
        <v>67.47</v>
      </c>
      <c r="F68" s="8">
        <v>131838</v>
      </c>
      <c r="G68" s="8">
        <v>975107</v>
      </c>
      <c r="H68" s="9">
        <f t="shared" si="0"/>
        <v>7.0264424792363146E-3</v>
      </c>
    </row>
    <row r="69" spans="1:8" ht="15.75" customHeight="1" x14ac:dyDescent="0.35">
      <c r="A69" s="12">
        <v>68</v>
      </c>
      <c r="B69" s="12" t="s">
        <v>157</v>
      </c>
      <c r="C69" s="12" t="s">
        <v>158</v>
      </c>
      <c r="D69" s="13" t="s">
        <v>159</v>
      </c>
      <c r="E69" s="14">
        <v>67.430000000000007</v>
      </c>
      <c r="F69" s="15">
        <v>380859</v>
      </c>
      <c r="G69" s="15">
        <v>1388643</v>
      </c>
      <c r="H69" s="16">
        <f t="shared" si="0"/>
        <v>7.0306106195176339E-3</v>
      </c>
    </row>
    <row r="70" spans="1:8" ht="15.75" customHeight="1" x14ac:dyDescent="0.35">
      <c r="A70" s="5">
        <v>69</v>
      </c>
      <c r="B70" s="5" t="s">
        <v>160</v>
      </c>
      <c r="C70" s="5" t="s">
        <v>161</v>
      </c>
      <c r="D70" s="6" t="s">
        <v>50</v>
      </c>
      <c r="E70" s="7">
        <v>67.16</v>
      </c>
      <c r="F70" s="8">
        <v>12206</v>
      </c>
      <c r="G70" s="8">
        <v>52659</v>
      </c>
      <c r="H70" s="9">
        <f t="shared" si="0"/>
        <v>7.0588754329075952E-3</v>
      </c>
    </row>
    <row r="71" spans="1:8" ht="15.75" customHeight="1" x14ac:dyDescent="0.35">
      <c r="A71" s="12">
        <v>70</v>
      </c>
      <c r="B71" s="12" t="s">
        <v>162</v>
      </c>
      <c r="C71" s="12" t="s">
        <v>163</v>
      </c>
      <c r="D71" s="13" t="s">
        <v>79</v>
      </c>
      <c r="E71" s="14">
        <v>67.06</v>
      </c>
      <c r="F71" s="15">
        <v>7122</v>
      </c>
      <c r="G71" s="15">
        <v>35457</v>
      </c>
      <c r="H71" s="16">
        <f t="shared" si="0"/>
        <v>7.0694016414266933E-3</v>
      </c>
    </row>
    <row r="72" spans="1:8" ht="15.75" customHeight="1" x14ac:dyDescent="0.35">
      <c r="A72" s="5">
        <v>71</v>
      </c>
      <c r="B72" s="5" t="s">
        <v>164</v>
      </c>
      <c r="C72" s="5" t="s">
        <v>165</v>
      </c>
      <c r="D72" s="6" t="s">
        <v>79</v>
      </c>
      <c r="E72" s="7">
        <v>66.430000000000007</v>
      </c>
      <c r="F72" s="8">
        <v>13652</v>
      </c>
      <c r="G72" s="8">
        <v>57514</v>
      </c>
      <c r="H72" s="9">
        <f t="shared" si="0"/>
        <v>7.1364454926098756E-3</v>
      </c>
    </row>
    <row r="73" spans="1:8" ht="15.75" customHeight="1" x14ac:dyDescent="0.35">
      <c r="A73" s="12">
        <v>72</v>
      </c>
      <c r="B73" s="12" t="s">
        <v>166</v>
      </c>
      <c r="C73" s="12" t="s">
        <v>167</v>
      </c>
      <c r="D73" s="13" t="s">
        <v>18</v>
      </c>
      <c r="E73" s="14">
        <v>65.510000000000005</v>
      </c>
      <c r="F73" s="15">
        <v>119063180</v>
      </c>
      <c r="G73" s="15">
        <v>384191175</v>
      </c>
      <c r="H73" s="16">
        <f t="shared" si="0"/>
        <v>7.2366672885677613E-3</v>
      </c>
    </row>
    <row r="74" spans="1:8" ht="15.75" customHeight="1" x14ac:dyDescent="0.35">
      <c r="A74" s="5">
        <v>73</v>
      </c>
      <c r="B74" s="5" t="s">
        <v>168</v>
      </c>
      <c r="C74" s="5" t="s">
        <v>169</v>
      </c>
      <c r="D74" s="6" t="s">
        <v>11</v>
      </c>
      <c r="E74" s="7">
        <v>64.959999999999994</v>
      </c>
      <c r="F74" s="8">
        <v>1728583</v>
      </c>
      <c r="G74" s="8">
        <v>6971582</v>
      </c>
      <c r="H74" s="9">
        <f t="shared" si="0"/>
        <v>7.297938332421091E-3</v>
      </c>
    </row>
    <row r="75" spans="1:8" ht="15.75" customHeight="1" x14ac:dyDescent="0.35">
      <c r="A75" s="12">
        <v>74</v>
      </c>
      <c r="B75" s="12" t="s">
        <v>170</v>
      </c>
      <c r="C75" s="12" t="s">
        <v>171</v>
      </c>
      <c r="D75" s="13" t="s">
        <v>11</v>
      </c>
      <c r="E75" s="14">
        <v>64.28</v>
      </c>
      <c r="F75" s="15">
        <v>360</v>
      </c>
      <c r="G75" s="15">
        <v>2363</v>
      </c>
      <c r="H75" s="16">
        <f t="shared" si="0"/>
        <v>7.3751411648113581E-3</v>
      </c>
    </row>
    <row r="76" spans="1:8" ht="15.75" customHeight="1" x14ac:dyDescent="0.35">
      <c r="A76" s="5">
        <v>75</v>
      </c>
      <c r="B76" s="5" t="s">
        <v>172</v>
      </c>
      <c r="C76" s="5" t="s">
        <v>173</v>
      </c>
      <c r="D76" s="6" t="s">
        <v>174</v>
      </c>
      <c r="E76" s="7">
        <v>63.29</v>
      </c>
      <c r="F76" s="8">
        <v>32341</v>
      </c>
      <c r="G76" s="8">
        <v>114364</v>
      </c>
      <c r="H76" s="9">
        <f t="shared" si="0"/>
        <v>7.4905051994639607E-3</v>
      </c>
    </row>
    <row r="77" spans="1:8" ht="15.75" customHeight="1" x14ac:dyDescent="0.35">
      <c r="A77" s="12">
        <v>76</v>
      </c>
      <c r="B77" s="12" t="s">
        <v>175</v>
      </c>
      <c r="C77" s="12" t="s">
        <v>176</v>
      </c>
      <c r="D77" s="13" t="s">
        <v>45</v>
      </c>
      <c r="E77" s="14">
        <v>63.28</v>
      </c>
      <c r="F77" s="15">
        <v>649950</v>
      </c>
      <c r="G77" s="15">
        <v>3493073</v>
      </c>
      <c r="H77" s="16">
        <f t="shared" si="0"/>
        <v>7.4916889076181116E-3</v>
      </c>
    </row>
    <row r="78" spans="1:8" ht="15.75" customHeight="1" x14ac:dyDescent="0.35">
      <c r="A78" s="5">
        <v>77</v>
      </c>
      <c r="B78" s="5" t="s">
        <v>177</v>
      </c>
      <c r="C78" s="5" t="s">
        <v>178</v>
      </c>
      <c r="D78" s="6" t="s">
        <v>18</v>
      </c>
      <c r="E78" s="7">
        <v>62.61</v>
      </c>
      <c r="F78" s="8">
        <v>3694</v>
      </c>
      <c r="G78" s="8">
        <v>20592</v>
      </c>
      <c r="H78" s="9">
        <f t="shared" si="0"/>
        <v>7.5718587138488115E-3</v>
      </c>
    </row>
    <row r="79" spans="1:8" ht="15.75" customHeight="1" x14ac:dyDescent="0.35">
      <c r="A79" s="12">
        <v>78</v>
      </c>
      <c r="B79" s="12" t="s">
        <v>179</v>
      </c>
      <c r="C79" s="12" t="s">
        <v>180</v>
      </c>
      <c r="D79" s="13" t="s">
        <v>181</v>
      </c>
      <c r="E79" s="14">
        <v>62.43</v>
      </c>
      <c r="F79" s="15">
        <v>28613</v>
      </c>
      <c r="G79" s="15">
        <v>138617</v>
      </c>
      <c r="H79" s="16">
        <f t="shared" si="0"/>
        <v>7.5936901181174778E-3</v>
      </c>
    </row>
    <row r="80" spans="1:8" ht="15.75" customHeight="1" x14ac:dyDescent="0.35">
      <c r="A80" s="5">
        <v>79</v>
      </c>
      <c r="B80" s="5" t="s">
        <v>182</v>
      </c>
      <c r="C80" s="5" t="s">
        <v>183</v>
      </c>
      <c r="D80" s="6" t="s">
        <v>79</v>
      </c>
      <c r="E80" s="7">
        <v>62.13</v>
      </c>
      <c r="F80" s="8">
        <v>12807</v>
      </c>
      <c r="G80" s="8">
        <v>51013</v>
      </c>
      <c r="H80" s="9">
        <f t="shared" si="0"/>
        <v>7.6303568980214719E-3</v>
      </c>
    </row>
    <row r="81" spans="1:8" ht="15.75" customHeight="1" x14ac:dyDescent="0.35">
      <c r="A81" s="12">
        <v>80</v>
      </c>
      <c r="B81" s="12" t="s">
        <v>184</v>
      </c>
      <c r="C81" s="12" t="s">
        <v>185</v>
      </c>
      <c r="D81" s="13" t="s">
        <v>45</v>
      </c>
      <c r="E81" s="14">
        <v>59.7</v>
      </c>
      <c r="F81" s="15">
        <v>1462459</v>
      </c>
      <c r="G81" s="15">
        <v>6294517</v>
      </c>
      <c r="H81" s="16">
        <f t="shared" si="0"/>
        <v>7.9409392642223464E-3</v>
      </c>
    </row>
    <row r="82" spans="1:8" ht="15.75" customHeight="1" x14ac:dyDescent="0.35">
      <c r="A82" s="5">
        <v>81</v>
      </c>
      <c r="B82" s="5" t="s">
        <v>186</v>
      </c>
      <c r="C82" s="5" t="s">
        <v>187</v>
      </c>
      <c r="D82" s="6" t="s">
        <v>50</v>
      </c>
      <c r="E82" s="7">
        <v>58.89</v>
      </c>
      <c r="F82" s="8">
        <v>28909</v>
      </c>
      <c r="G82" s="8">
        <v>81438</v>
      </c>
      <c r="H82" s="9">
        <f t="shared" si="0"/>
        <v>8.0501625755488894E-3</v>
      </c>
    </row>
    <row r="83" spans="1:8" ht="15.75" customHeight="1" x14ac:dyDescent="0.35">
      <c r="A83" s="12">
        <v>82</v>
      </c>
      <c r="B83" s="12" t="s">
        <v>188</v>
      </c>
      <c r="C83" s="12" t="s">
        <v>189</v>
      </c>
      <c r="D83" s="13" t="s">
        <v>50</v>
      </c>
      <c r="E83" s="14">
        <v>57.85</v>
      </c>
      <c r="F83" s="15">
        <v>55383</v>
      </c>
      <c r="G83" s="15">
        <v>147168</v>
      </c>
      <c r="H83" s="16">
        <f t="shared" si="0"/>
        <v>8.1948845993789817E-3</v>
      </c>
    </row>
    <row r="84" spans="1:8" ht="15.75" customHeight="1" x14ac:dyDescent="0.35">
      <c r="A84" s="5">
        <v>83</v>
      </c>
      <c r="B84" s="5" t="s">
        <v>190</v>
      </c>
      <c r="C84" s="5" t="s">
        <v>191</v>
      </c>
      <c r="D84" s="6" t="s">
        <v>79</v>
      </c>
      <c r="E84" s="7">
        <v>56.84</v>
      </c>
      <c r="F84" s="8">
        <v>1229</v>
      </c>
      <c r="G84" s="8">
        <v>6576</v>
      </c>
      <c r="H84" s="9">
        <f t="shared" si="0"/>
        <v>8.340500951338389E-3</v>
      </c>
    </row>
    <row r="85" spans="1:8" ht="15.75" customHeight="1" x14ac:dyDescent="0.35">
      <c r="A85" s="12">
        <v>84</v>
      </c>
      <c r="B85" s="12" t="s">
        <v>192</v>
      </c>
      <c r="C85" s="12" t="s">
        <v>193</v>
      </c>
      <c r="D85" s="13" t="s">
        <v>11</v>
      </c>
      <c r="E85" s="14">
        <v>56.61</v>
      </c>
      <c r="F85" s="15">
        <v>355</v>
      </c>
      <c r="G85" s="15">
        <v>1007</v>
      </c>
      <c r="H85" s="16">
        <f t="shared" si="0"/>
        <v>8.3743874593547804E-3</v>
      </c>
    </row>
    <row r="86" spans="1:8" ht="15.75" customHeight="1" x14ac:dyDescent="0.35">
      <c r="A86" s="5">
        <v>85</v>
      </c>
      <c r="B86" s="5" t="s">
        <v>194</v>
      </c>
      <c r="C86" s="5" t="s">
        <v>195</v>
      </c>
      <c r="D86" s="6" t="s">
        <v>40</v>
      </c>
      <c r="E86" s="7">
        <v>56.61</v>
      </c>
      <c r="F86" s="8">
        <v>344</v>
      </c>
      <c r="G86" s="8">
        <v>1961</v>
      </c>
      <c r="H86" s="9">
        <f t="shared" si="0"/>
        <v>8.3743874593547804E-3</v>
      </c>
    </row>
    <row r="87" spans="1:8" ht="15.75" customHeight="1" x14ac:dyDescent="0.35">
      <c r="A87" s="12">
        <v>86</v>
      </c>
      <c r="B87" s="12" t="s">
        <v>196</v>
      </c>
      <c r="C87" s="12" t="s">
        <v>197</v>
      </c>
      <c r="D87" s="13" t="s">
        <v>79</v>
      </c>
      <c r="E87" s="14">
        <v>56</v>
      </c>
      <c r="F87" s="15">
        <v>3150</v>
      </c>
      <c r="G87" s="15">
        <v>10299</v>
      </c>
      <c r="H87" s="16">
        <f t="shared" si="0"/>
        <v>8.4656084656084662E-3</v>
      </c>
    </row>
    <row r="88" spans="1:8" ht="15.75" customHeight="1" x14ac:dyDescent="0.35">
      <c r="A88" s="5">
        <v>87</v>
      </c>
      <c r="B88" s="5" t="s">
        <v>198</v>
      </c>
      <c r="C88" s="5" t="s">
        <v>199</v>
      </c>
      <c r="D88" s="6" t="s">
        <v>79</v>
      </c>
      <c r="E88" s="7">
        <v>55.28</v>
      </c>
      <c r="F88" s="8">
        <v>26132</v>
      </c>
      <c r="G88" s="8">
        <v>90145</v>
      </c>
      <c r="H88" s="9">
        <f t="shared" si="0"/>
        <v>8.5758696467813679E-3</v>
      </c>
    </row>
    <row r="89" spans="1:8" ht="15.75" customHeight="1" x14ac:dyDescent="0.35">
      <c r="A89" s="12">
        <v>88</v>
      </c>
      <c r="B89" s="12" t="s">
        <v>200</v>
      </c>
      <c r="C89" s="12" t="s">
        <v>201</v>
      </c>
      <c r="D89" s="13" t="s">
        <v>45</v>
      </c>
      <c r="E89" s="14">
        <v>53.87</v>
      </c>
      <c r="F89" s="15">
        <v>863052</v>
      </c>
      <c r="G89" s="15">
        <v>4042790</v>
      </c>
      <c r="H89" s="16">
        <f t="shared" si="0"/>
        <v>8.8003355127914268E-3</v>
      </c>
    </row>
    <row r="90" spans="1:8" ht="15.75" customHeight="1" x14ac:dyDescent="0.35">
      <c r="A90" s="5">
        <v>89</v>
      </c>
      <c r="B90" s="5" t="s">
        <v>202</v>
      </c>
      <c r="C90" s="5" t="s">
        <v>203</v>
      </c>
      <c r="D90" s="6" t="s">
        <v>181</v>
      </c>
      <c r="E90" s="7">
        <v>53.39</v>
      </c>
      <c r="F90" s="8">
        <v>41771</v>
      </c>
      <c r="G90" s="8">
        <v>239791</v>
      </c>
      <c r="H90" s="9">
        <f t="shared" si="0"/>
        <v>8.8794544685160907E-3</v>
      </c>
    </row>
    <row r="91" spans="1:8" ht="15.75" customHeight="1" x14ac:dyDescent="0.35">
      <c r="A91" s="12">
        <v>90</v>
      </c>
      <c r="B91" s="12" t="s">
        <v>204</v>
      </c>
      <c r="C91" s="12" t="s">
        <v>205</v>
      </c>
      <c r="D91" s="13" t="s">
        <v>57</v>
      </c>
      <c r="E91" s="14">
        <v>53.29</v>
      </c>
      <c r="F91" s="15">
        <v>17849</v>
      </c>
      <c r="G91" s="15">
        <v>82988</v>
      </c>
      <c r="H91" s="16">
        <f t="shared" si="0"/>
        <v>8.8961169839383378E-3</v>
      </c>
    </row>
    <row r="92" spans="1:8" ht="15.75" customHeight="1" x14ac:dyDescent="0.35">
      <c r="A92" s="5">
        <v>91</v>
      </c>
      <c r="B92" s="5" t="s">
        <v>206</v>
      </c>
      <c r="C92" s="5" t="s">
        <v>207</v>
      </c>
      <c r="D92" s="6" t="s">
        <v>79</v>
      </c>
      <c r="E92" s="7">
        <v>52.14</v>
      </c>
      <c r="F92" s="8">
        <v>718</v>
      </c>
      <c r="G92" s="8">
        <v>2388</v>
      </c>
      <c r="H92" s="9">
        <f t="shared" si="0"/>
        <v>9.0923297674352522E-3</v>
      </c>
    </row>
    <row r="93" spans="1:8" ht="15.75" customHeight="1" x14ac:dyDescent="0.35">
      <c r="A93" s="12">
        <v>92</v>
      </c>
      <c r="B93" s="12" t="s">
        <v>208</v>
      </c>
      <c r="C93" s="12" t="s">
        <v>209</v>
      </c>
      <c r="D93" s="13" t="s">
        <v>18</v>
      </c>
      <c r="E93" s="14">
        <v>52.07</v>
      </c>
      <c r="F93" s="15">
        <v>5187332</v>
      </c>
      <c r="G93" s="15">
        <v>43750496</v>
      </c>
      <c r="H93" s="16">
        <f t="shared" si="0"/>
        <v>9.1045529877870953E-3</v>
      </c>
    </row>
    <row r="94" spans="1:8" ht="15.75" customHeight="1" x14ac:dyDescent="0.35">
      <c r="A94" s="5">
        <v>93</v>
      </c>
      <c r="B94" s="5" t="s">
        <v>210</v>
      </c>
      <c r="C94" s="5" t="s">
        <v>211</v>
      </c>
      <c r="D94" s="6" t="s">
        <v>79</v>
      </c>
      <c r="E94" s="7">
        <v>51.82</v>
      </c>
      <c r="F94" s="8">
        <v>4098</v>
      </c>
      <c r="G94" s="8">
        <v>17394</v>
      </c>
      <c r="H94" s="9">
        <f t="shared" si="0"/>
        <v>9.1484769215375156E-3</v>
      </c>
    </row>
    <row r="95" spans="1:8" ht="15.75" customHeight="1" x14ac:dyDescent="0.35">
      <c r="A95" s="12">
        <v>94</v>
      </c>
      <c r="B95" s="12" t="s">
        <v>212</v>
      </c>
      <c r="C95" s="12" t="s">
        <v>213</v>
      </c>
      <c r="D95" s="13" t="s">
        <v>11</v>
      </c>
      <c r="E95" s="14">
        <v>51.6</v>
      </c>
      <c r="F95" s="15">
        <v>143</v>
      </c>
      <c r="G95" s="15">
        <v>554</v>
      </c>
      <c r="H95" s="16">
        <f t="shared" si="0"/>
        <v>9.1874820556991088E-3</v>
      </c>
    </row>
    <row r="96" spans="1:8" ht="15.75" customHeight="1" x14ac:dyDescent="0.35">
      <c r="A96" s="5">
        <v>95</v>
      </c>
      <c r="B96" s="5" t="s">
        <v>214</v>
      </c>
      <c r="C96" s="5" t="s">
        <v>215</v>
      </c>
      <c r="D96" s="6" t="s">
        <v>50</v>
      </c>
      <c r="E96" s="7">
        <v>51.53</v>
      </c>
      <c r="F96" s="8">
        <v>127646</v>
      </c>
      <c r="G96" s="8">
        <v>726417</v>
      </c>
      <c r="H96" s="9">
        <f t="shared" si="0"/>
        <v>9.1999626251518356E-3</v>
      </c>
    </row>
    <row r="97" spans="1:8" ht="15.75" customHeight="1" x14ac:dyDescent="0.35">
      <c r="A97" s="12">
        <v>96</v>
      </c>
      <c r="B97" s="12" t="s">
        <v>216</v>
      </c>
      <c r="C97" s="12" t="s">
        <v>217</v>
      </c>
      <c r="D97" s="13" t="s">
        <v>79</v>
      </c>
      <c r="E97" s="14">
        <v>51.11</v>
      </c>
      <c r="F97" s="15">
        <v>621</v>
      </c>
      <c r="G97" s="15">
        <v>1223</v>
      </c>
      <c r="H97" s="16">
        <f t="shared" si="0"/>
        <v>9.2755639615353953E-3</v>
      </c>
    </row>
    <row r="98" spans="1:8" ht="15.75" customHeight="1" x14ac:dyDescent="0.35">
      <c r="A98" s="5">
        <v>97</v>
      </c>
      <c r="B98" s="5" t="s">
        <v>218</v>
      </c>
      <c r="C98" s="5" t="s">
        <v>219</v>
      </c>
      <c r="D98" s="6" t="s">
        <v>76</v>
      </c>
      <c r="E98" s="7">
        <v>50.61</v>
      </c>
      <c r="F98" s="8">
        <v>8835</v>
      </c>
      <c r="G98" s="8">
        <v>41883</v>
      </c>
      <c r="H98" s="9">
        <f t="shared" si="0"/>
        <v>9.3672016216967812E-3</v>
      </c>
    </row>
    <row r="99" spans="1:8" ht="15.75" customHeight="1" x14ac:dyDescent="0.35">
      <c r="A99" s="12">
        <v>98</v>
      </c>
      <c r="B99" s="12" t="s">
        <v>220</v>
      </c>
      <c r="C99" s="12" t="s">
        <v>221</v>
      </c>
      <c r="D99" s="13" t="s">
        <v>79</v>
      </c>
      <c r="E99" s="14">
        <v>49.61</v>
      </c>
      <c r="F99" s="15">
        <v>10551</v>
      </c>
      <c r="G99" s="15">
        <v>51197</v>
      </c>
      <c r="H99" s="16">
        <f t="shared" si="0"/>
        <v>9.5560184251980256E-3</v>
      </c>
    </row>
    <row r="100" spans="1:8" ht="15.75" customHeight="1" x14ac:dyDescent="0.35">
      <c r="A100" s="5">
        <v>99</v>
      </c>
      <c r="B100" s="5" t="s">
        <v>222</v>
      </c>
      <c r="C100" s="5" t="s">
        <v>223</v>
      </c>
      <c r="D100" s="6" t="s">
        <v>57</v>
      </c>
      <c r="E100" s="7">
        <v>49.39</v>
      </c>
      <c r="F100" s="8">
        <v>218122</v>
      </c>
      <c r="G100" s="8">
        <v>980095</v>
      </c>
      <c r="H100" s="9">
        <f t="shared" si="0"/>
        <v>9.5985842088291973E-3</v>
      </c>
    </row>
    <row r="101" spans="1:8" ht="15.75" customHeight="1" x14ac:dyDescent="0.35">
      <c r="A101" s="12">
        <v>100</v>
      </c>
      <c r="B101" s="12" t="s">
        <v>224</v>
      </c>
      <c r="C101" s="12" t="s">
        <v>225</v>
      </c>
      <c r="D101" s="13" t="s">
        <v>79</v>
      </c>
      <c r="E101" s="14">
        <v>49.23</v>
      </c>
      <c r="F101" s="15">
        <v>1243</v>
      </c>
      <c r="G101" s="15">
        <v>3862</v>
      </c>
      <c r="H101" s="16">
        <f t="shared" si="0"/>
        <v>9.629780094943613E-3</v>
      </c>
    </row>
    <row r="102" spans="1:8" ht="15.75" customHeight="1" x14ac:dyDescent="0.35">
      <c r="A102" s="5">
        <v>101</v>
      </c>
      <c r="B102" s="5" t="s">
        <v>226</v>
      </c>
      <c r="C102" s="5" t="s">
        <v>227</v>
      </c>
      <c r="D102" s="6" t="s">
        <v>79</v>
      </c>
      <c r="E102" s="7">
        <v>48.54</v>
      </c>
      <c r="F102" s="8">
        <v>22818</v>
      </c>
      <c r="G102" s="8">
        <v>74985</v>
      </c>
      <c r="H102" s="9">
        <f t="shared" si="0"/>
        <v>9.7666681927085722E-3</v>
      </c>
    </row>
    <row r="103" spans="1:8" ht="15.75" customHeight="1" x14ac:dyDescent="0.35">
      <c r="A103" s="12">
        <v>102</v>
      </c>
      <c r="B103" s="12" t="s">
        <v>228</v>
      </c>
      <c r="C103" s="12" t="s">
        <v>229</v>
      </c>
      <c r="D103" s="13" t="s">
        <v>79</v>
      </c>
      <c r="E103" s="14">
        <v>48.05</v>
      </c>
      <c r="F103" s="15">
        <v>128111</v>
      </c>
      <c r="G103" s="15">
        <v>406633</v>
      </c>
      <c r="H103" s="16">
        <f t="shared" si="0"/>
        <v>9.8662658496165272E-3</v>
      </c>
    </row>
    <row r="104" spans="1:8" ht="15.75" customHeight="1" x14ac:dyDescent="0.35">
      <c r="A104" s="5">
        <v>103</v>
      </c>
      <c r="B104" s="5" t="s">
        <v>230</v>
      </c>
      <c r="C104" s="5" t="s">
        <v>231</v>
      </c>
      <c r="D104" s="6" t="s">
        <v>79</v>
      </c>
      <c r="E104" s="7">
        <v>47.9</v>
      </c>
      <c r="F104" s="8">
        <v>909</v>
      </c>
      <c r="G104" s="8">
        <v>1854</v>
      </c>
      <c r="H104" s="9">
        <f t="shared" si="0"/>
        <v>9.8971622979973709E-3</v>
      </c>
    </row>
    <row r="105" spans="1:8" ht="15.75" customHeight="1" x14ac:dyDescent="0.35">
      <c r="A105" s="12">
        <v>104</v>
      </c>
      <c r="B105" s="12" t="s">
        <v>232</v>
      </c>
      <c r="C105" s="12" t="s">
        <v>233</v>
      </c>
      <c r="D105" s="13" t="s">
        <v>79</v>
      </c>
      <c r="E105" s="14">
        <v>46.34</v>
      </c>
      <c r="F105" s="15">
        <v>138</v>
      </c>
      <c r="G105" s="15">
        <v>290</v>
      </c>
      <c r="H105" s="16">
        <f t="shared" si="0"/>
        <v>1.0230342556626543E-2</v>
      </c>
    </row>
    <row r="106" spans="1:8" ht="15.75" customHeight="1" x14ac:dyDescent="0.35">
      <c r="A106" s="5">
        <v>105</v>
      </c>
      <c r="B106" s="5" t="s">
        <v>234</v>
      </c>
      <c r="C106" s="5" t="s">
        <v>235</v>
      </c>
      <c r="D106" s="6" t="s">
        <v>18</v>
      </c>
      <c r="E106" s="7">
        <v>45.92</v>
      </c>
      <c r="F106" s="8">
        <v>807490</v>
      </c>
      <c r="G106" s="8">
        <v>2009921</v>
      </c>
      <c r="H106" s="9">
        <f t="shared" si="0"/>
        <v>1.0323912762937152E-2</v>
      </c>
    </row>
    <row r="107" spans="1:8" ht="15.75" customHeight="1" x14ac:dyDescent="0.35">
      <c r="A107" s="12">
        <v>106</v>
      </c>
      <c r="B107" s="12" t="s">
        <v>236</v>
      </c>
      <c r="C107" s="12" t="s">
        <v>237</v>
      </c>
      <c r="D107" s="13" t="s">
        <v>159</v>
      </c>
      <c r="E107" s="14">
        <v>45.81</v>
      </c>
      <c r="F107" s="15">
        <v>28303</v>
      </c>
      <c r="G107" s="15">
        <v>92175</v>
      </c>
      <c r="H107" s="16">
        <f t="shared" si="0"/>
        <v>1.0348702773937438E-2</v>
      </c>
    </row>
    <row r="108" spans="1:8" ht="15.75" customHeight="1" x14ac:dyDescent="0.35">
      <c r="A108" s="5">
        <v>107</v>
      </c>
      <c r="B108" s="5" t="s">
        <v>238</v>
      </c>
      <c r="C108" s="5" t="s">
        <v>239</v>
      </c>
      <c r="D108" s="6" t="s">
        <v>45</v>
      </c>
      <c r="E108" s="7">
        <v>45.54</v>
      </c>
      <c r="F108" s="8">
        <v>137730</v>
      </c>
      <c r="G108" s="8">
        <v>610711</v>
      </c>
      <c r="H108" s="9">
        <f t="shared" si="0"/>
        <v>1.0410058719237463E-2</v>
      </c>
    </row>
    <row r="109" spans="1:8" ht="15.75" customHeight="1" x14ac:dyDescent="0.35">
      <c r="A109" s="12">
        <v>108</v>
      </c>
      <c r="B109" s="12" t="s">
        <v>240</v>
      </c>
      <c r="C109" s="12" t="s">
        <v>241</v>
      </c>
      <c r="D109" s="13" t="s">
        <v>57</v>
      </c>
      <c r="E109" s="14">
        <v>45.51</v>
      </c>
      <c r="F109" s="15">
        <v>19508</v>
      </c>
      <c r="G109" s="15">
        <v>55666</v>
      </c>
      <c r="H109" s="16">
        <f t="shared" si="0"/>
        <v>1.0416920986026678E-2</v>
      </c>
    </row>
    <row r="110" spans="1:8" ht="15.75" customHeight="1" x14ac:dyDescent="0.35">
      <c r="A110" s="5">
        <v>109</v>
      </c>
      <c r="B110" s="5" t="s">
        <v>242</v>
      </c>
      <c r="C110" s="5" t="s">
        <v>243</v>
      </c>
      <c r="D110" s="6" t="s">
        <v>45</v>
      </c>
      <c r="E110" s="7">
        <v>45.1</v>
      </c>
      <c r="F110" s="8">
        <v>28520</v>
      </c>
      <c r="G110" s="8">
        <v>89809</v>
      </c>
      <c r="H110" s="9">
        <f t="shared" si="0"/>
        <v>1.0511620267717828E-2</v>
      </c>
    </row>
    <row r="111" spans="1:8" ht="15.75" customHeight="1" x14ac:dyDescent="0.35">
      <c r="A111" s="12">
        <v>110</v>
      </c>
      <c r="B111" s="12" t="s">
        <v>244</v>
      </c>
      <c r="C111" s="12" t="s">
        <v>245</v>
      </c>
      <c r="D111" s="13" t="s">
        <v>181</v>
      </c>
      <c r="E111" s="14">
        <v>44.73</v>
      </c>
      <c r="F111" s="15">
        <v>5617368</v>
      </c>
      <c r="G111" s="15">
        <v>17424061</v>
      </c>
      <c r="H111" s="16">
        <f t="shared" si="0"/>
        <v>1.0598570848962086E-2</v>
      </c>
    </row>
    <row r="112" spans="1:8" ht="15.75" customHeight="1" x14ac:dyDescent="0.35">
      <c r="A112" s="5">
        <v>111</v>
      </c>
      <c r="B112" s="5" t="s">
        <v>246</v>
      </c>
      <c r="C112" s="5" t="s">
        <v>247</v>
      </c>
      <c r="D112" s="6" t="s">
        <v>40</v>
      </c>
      <c r="E112" s="7">
        <v>42.69</v>
      </c>
      <c r="F112" s="8">
        <v>481</v>
      </c>
      <c r="G112" s="8">
        <v>22344</v>
      </c>
      <c r="H112" s="9">
        <f t="shared" si="0"/>
        <v>1.1105038043431111E-2</v>
      </c>
    </row>
    <row r="113" spans="1:8" ht="15.75" customHeight="1" x14ac:dyDescent="0.35">
      <c r="A113" s="12">
        <v>112</v>
      </c>
      <c r="B113" s="12" t="s">
        <v>248</v>
      </c>
      <c r="C113" s="12" t="s">
        <v>249</v>
      </c>
      <c r="D113" s="13" t="s">
        <v>45</v>
      </c>
      <c r="E113" s="14">
        <v>42.68</v>
      </c>
      <c r="F113" s="15">
        <v>8301</v>
      </c>
      <c r="G113" s="15">
        <v>24387</v>
      </c>
      <c r="H113" s="16">
        <f t="shared" si="0"/>
        <v>1.1107639973619356E-2</v>
      </c>
    </row>
    <row r="114" spans="1:8" ht="15.75" customHeight="1" x14ac:dyDescent="0.35">
      <c r="A114" s="5">
        <v>113</v>
      </c>
      <c r="B114" s="5" t="s">
        <v>250</v>
      </c>
      <c r="C114" s="5" t="s">
        <v>251</v>
      </c>
      <c r="D114" s="6" t="s">
        <v>50</v>
      </c>
      <c r="E114" s="7">
        <v>42.46</v>
      </c>
      <c r="F114" s="8">
        <v>57996</v>
      </c>
      <c r="G114" s="8">
        <v>155939</v>
      </c>
      <c r="H114" s="9">
        <f t="shared" si="0"/>
        <v>1.1165192512342772E-2</v>
      </c>
    </row>
    <row r="115" spans="1:8" ht="15.75" customHeight="1" x14ac:dyDescent="0.35">
      <c r="A115" s="12">
        <v>114</v>
      </c>
      <c r="B115" s="12" t="s">
        <v>252</v>
      </c>
      <c r="C115" s="12" t="s">
        <v>253</v>
      </c>
      <c r="D115" s="13" t="s">
        <v>174</v>
      </c>
      <c r="E115" s="14">
        <v>42.42</v>
      </c>
      <c r="F115" s="15">
        <v>2035548</v>
      </c>
      <c r="G115" s="15">
        <v>19544418</v>
      </c>
      <c r="H115" s="16">
        <f t="shared" si="0"/>
        <v>1.1175720746677843E-2</v>
      </c>
    </row>
    <row r="116" spans="1:8" ht="15.75" customHeight="1" x14ac:dyDescent="0.35">
      <c r="A116" s="5">
        <v>115</v>
      </c>
      <c r="B116" s="5" t="s">
        <v>254</v>
      </c>
      <c r="C116" s="5" t="s">
        <v>255</v>
      </c>
      <c r="D116" s="6" t="s">
        <v>181</v>
      </c>
      <c r="E116" s="7">
        <v>41.72</v>
      </c>
      <c r="F116" s="8">
        <v>3671</v>
      </c>
      <c r="G116" s="8">
        <v>15029</v>
      </c>
      <c r="H116" s="9">
        <f t="shared" si="0"/>
        <v>1.1363232839742908E-2</v>
      </c>
    </row>
    <row r="117" spans="1:8" ht="15.75" customHeight="1" x14ac:dyDescent="0.35">
      <c r="A117" s="12">
        <v>116</v>
      </c>
      <c r="B117" s="12" t="s">
        <v>256</v>
      </c>
      <c r="C117" s="12" t="s">
        <v>257</v>
      </c>
      <c r="D117" s="13" t="s">
        <v>57</v>
      </c>
      <c r="E117" s="14">
        <v>38.520000000000003</v>
      </c>
      <c r="F117" s="15">
        <v>46432</v>
      </c>
      <c r="G117" s="15">
        <v>586926</v>
      </c>
      <c r="H117" s="16">
        <f t="shared" si="0"/>
        <v>1.2307218953117188E-2</v>
      </c>
    </row>
    <row r="118" spans="1:8" ht="15.75" customHeight="1" x14ac:dyDescent="0.35">
      <c r="A118" s="5">
        <v>117</v>
      </c>
      <c r="B118" s="5" t="s">
        <v>258</v>
      </c>
      <c r="C118" s="5" t="s">
        <v>259</v>
      </c>
      <c r="D118" s="6" t="s">
        <v>50</v>
      </c>
      <c r="E118" s="7">
        <v>37.65</v>
      </c>
      <c r="F118" s="8">
        <v>551055</v>
      </c>
      <c r="G118" s="8">
        <v>1024487</v>
      </c>
      <c r="H118" s="9">
        <f t="shared" si="0"/>
        <v>1.2591608873149376E-2</v>
      </c>
    </row>
    <row r="119" spans="1:8" ht="15.75" customHeight="1" x14ac:dyDescent="0.35">
      <c r="A119" s="12">
        <v>118</v>
      </c>
      <c r="B119" s="12" t="s">
        <v>260</v>
      </c>
      <c r="C119" s="12" t="s">
        <v>261</v>
      </c>
      <c r="D119" s="13" t="s">
        <v>18</v>
      </c>
      <c r="E119" s="14">
        <v>37.56</v>
      </c>
      <c r="F119" s="15">
        <v>172463</v>
      </c>
      <c r="G119" s="15">
        <v>568072</v>
      </c>
      <c r="H119" s="16">
        <f t="shared" si="0"/>
        <v>1.2621780459906126E-2</v>
      </c>
    </row>
    <row r="120" spans="1:8" ht="15.75" customHeight="1" x14ac:dyDescent="0.35">
      <c r="A120" s="5">
        <v>119</v>
      </c>
      <c r="B120" s="5" t="s">
        <v>262</v>
      </c>
      <c r="C120" s="5" t="s">
        <v>263</v>
      </c>
      <c r="D120" s="6" t="s">
        <v>181</v>
      </c>
      <c r="E120" s="7">
        <v>37.340000000000003</v>
      </c>
      <c r="F120" s="8">
        <v>40548</v>
      </c>
      <c r="G120" s="8">
        <v>199486</v>
      </c>
      <c r="H120" s="9">
        <f t="shared" si="0"/>
        <v>1.2696145529568131E-2</v>
      </c>
    </row>
    <row r="121" spans="1:8" ht="15.75" customHeight="1" x14ac:dyDescent="0.35">
      <c r="A121" s="12">
        <v>120</v>
      </c>
      <c r="B121" s="12" t="s">
        <v>264</v>
      </c>
      <c r="C121" s="12" t="s">
        <v>265</v>
      </c>
      <c r="D121" s="13" t="s">
        <v>174</v>
      </c>
      <c r="E121" s="14">
        <v>37.229999999999997</v>
      </c>
      <c r="F121" s="15">
        <v>1585</v>
      </c>
      <c r="G121" s="15">
        <v>6660</v>
      </c>
      <c r="H121" s="16">
        <f t="shared" si="0"/>
        <v>1.2733657643676448E-2</v>
      </c>
    </row>
    <row r="122" spans="1:8" ht="15.75" customHeight="1" x14ac:dyDescent="0.35">
      <c r="A122" s="5">
        <v>121</v>
      </c>
      <c r="B122" s="5" t="s">
        <v>266</v>
      </c>
      <c r="C122" s="5" t="s">
        <v>267</v>
      </c>
      <c r="D122" s="6" t="s">
        <v>76</v>
      </c>
      <c r="E122" s="7">
        <v>36.4</v>
      </c>
      <c r="F122" s="8">
        <v>2788</v>
      </c>
      <c r="G122" s="8">
        <v>19761</v>
      </c>
      <c r="H122" s="9">
        <f t="shared" si="0"/>
        <v>1.3024013024013025E-2</v>
      </c>
    </row>
    <row r="123" spans="1:8" ht="15.75" customHeight="1" x14ac:dyDescent="0.35">
      <c r="A123" s="12">
        <v>122</v>
      </c>
      <c r="B123" s="12" t="s">
        <v>268</v>
      </c>
      <c r="C123" s="12" t="s">
        <v>269</v>
      </c>
      <c r="D123" s="13" t="s">
        <v>181</v>
      </c>
      <c r="E123" s="14">
        <v>35.9</v>
      </c>
      <c r="F123" s="15">
        <v>22498</v>
      </c>
      <c r="G123" s="15">
        <v>120086</v>
      </c>
      <c r="H123" s="16">
        <f t="shared" si="0"/>
        <v>1.320540596306613E-2</v>
      </c>
    </row>
    <row r="124" spans="1:8" ht="15.75" customHeight="1" x14ac:dyDescent="0.35">
      <c r="A124" s="5">
        <v>123</v>
      </c>
      <c r="B124" s="5" t="s">
        <v>270</v>
      </c>
      <c r="C124" s="5" t="s">
        <v>271</v>
      </c>
      <c r="D124" s="6" t="s">
        <v>181</v>
      </c>
      <c r="E124" s="7">
        <v>33.85</v>
      </c>
      <c r="F124" s="8">
        <v>14253</v>
      </c>
      <c r="G124" s="8">
        <v>99467</v>
      </c>
      <c r="H124" s="9">
        <f t="shared" si="0"/>
        <v>1.4005142513266591E-2</v>
      </c>
    </row>
    <row r="125" spans="1:8" ht="15.75" customHeight="1" x14ac:dyDescent="0.35">
      <c r="A125" s="12">
        <v>124</v>
      </c>
      <c r="B125" s="12" t="s">
        <v>272</v>
      </c>
      <c r="C125" s="12" t="s">
        <v>273</v>
      </c>
      <c r="D125" s="13" t="s">
        <v>79</v>
      </c>
      <c r="E125" s="14">
        <v>32.979999999999997</v>
      </c>
      <c r="F125" s="15">
        <v>1333</v>
      </c>
      <c r="G125" s="15">
        <v>6466</v>
      </c>
      <c r="H125" s="16">
        <f t="shared" si="0"/>
        <v>1.4374592907036814E-2</v>
      </c>
    </row>
    <row r="126" spans="1:8" ht="15.75" customHeight="1" x14ac:dyDescent="0.35">
      <c r="A126" s="5">
        <v>125</v>
      </c>
      <c r="B126" s="5" t="s">
        <v>274</v>
      </c>
      <c r="C126" s="5" t="s">
        <v>275</v>
      </c>
      <c r="D126" s="6" t="s">
        <v>50</v>
      </c>
      <c r="E126" s="7">
        <v>32.89</v>
      </c>
      <c r="F126" s="8">
        <v>389823</v>
      </c>
      <c r="G126" s="8">
        <v>1185931</v>
      </c>
      <c r="H126" s="9">
        <f t="shared" si="0"/>
        <v>1.4413927457405717E-2</v>
      </c>
    </row>
    <row r="127" spans="1:8" ht="15.75" customHeight="1" x14ac:dyDescent="0.35">
      <c r="A127" s="12">
        <v>126</v>
      </c>
      <c r="B127" s="12" t="s">
        <v>276</v>
      </c>
      <c r="C127" s="12" t="s">
        <v>277</v>
      </c>
      <c r="D127" s="13" t="s">
        <v>174</v>
      </c>
      <c r="E127" s="14">
        <v>32.69</v>
      </c>
      <c r="F127" s="15">
        <v>8161</v>
      </c>
      <c r="G127" s="15">
        <v>26592</v>
      </c>
      <c r="H127" s="16">
        <f t="shared" si="0"/>
        <v>1.4502113003183667E-2</v>
      </c>
    </row>
    <row r="128" spans="1:8" ht="15.75" customHeight="1" x14ac:dyDescent="0.35">
      <c r="A128" s="5">
        <v>127</v>
      </c>
      <c r="B128" s="5" t="s">
        <v>278</v>
      </c>
      <c r="C128" s="5" t="s">
        <v>279</v>
      </c>
      <c r="D128" s="6" t="s">
        <v>174</v>
      </c>
      <c r="E128" s="7">
        <v>31.12</v>
      </c>
      <c r="F128" s="8">
        <v>9985</v>
      </c>
      <c r="G128" s="8">
        <v>45224</v>
      </c>
      <c r="H128" s="9">
        <f t="shared" si="0"/>
        <v>1.5233742740169476E-2</v>
      </c>
    </row>
    <row r="129" spans="1:8" ht="15.75" customHeight="1" x14ac:dyDescent="0.35">
      <c r="A129" s="12">
        <v>128</v>
      </c>
      <c r="B129" s="12" t="s">
        <v>280</v>
      </c>
      <c r="C129" s="12" t="s">
        <v>281</v>
      </c>
      <c r="D129" s="13" t="s">
        <v>57</v>
      </c>
      <c r="E129" s="14">
        <v>29.87</v>
      </c>
      <c r="F129" s="15">
        <v>18421</v>
      </c>
      <c r="G129" s="15">
        <v>692000</v>
      </c>
      <c r="H129" s="16">
        <f t="shared" si="0"/>
        <v>1.5871244528760431E-2</v>
      </c>
    </row>
    <row r="130" spans="1:8" ht="15.75" customHeight="1" x14ac:dyDescent="0.35">
      <c r="A130" s="5">
        <v>129</v>
      </c>
      <c r="B130" s="5" t="s">
        <v>282</v>
      </c>
      <c r="C130" s="5" t="s">
        <v>283</v>
      </c>
      <c r="D130" s="6" t="s">
        <v>76</v>
      </c>
      <c r="E130" s="7">
        <v>29.8</v>
      </c>
      <c r="F130" s="8">
        <v>254</v>
      </c>
      <c r="G130" s="8">
        <v>758</v>
      </c>
      <c r="H130" s="9">
        <f t="shared" si="0"/>
        <v>1.5908525975640072E-2</v>
      </c>
    </row>
    <row r="131" spans="1:8" ht="15.75" customHeight="1" x14ac:dyDescent="0.35">
      <c r="A131" s="12">
        <v>130</v>
      </c>
      <c r="B131" s="12" t="s">
        <v>284</v>
      </c>
      <c r="C131" s="12" t="s">
        <v>285</v>
      </c>
      <c r="D131" s="13" t="s">
        <v>174</v>
      </c>
      <c r="E131" s="14">
        <v>29.52</v>
      </c>
      <c r="F131" s="15">
        <v>2644</v>
      </c>
      <c r="G131" s="15">
        <v>70899</v>
      </c>
      <c r="H131" s="16">
        <f t="shared" si="0"/>
        <v>1.6059419853457796E-2</v>
      </c>
    </row>
    <row r="132" spans="1:8" ht="15.75" customHeight="1" x14ac:dyDescent="0.35">
      <c r="A132" s="5">
        <v>131</v>
      </c>
      <c r="B132" s="5" t="s">
        <v>286</v>
      </c>
      <c r="C132" s="5" t="s">
        <v>287</v>
      </c>
      <c r="D132" s="6" t="s">
        <v>45</v>
      </c>
      <c r="E132" s="7">
        <v>28.57</v>
      </c>
      <c r="F132" s="8">
        <v>5361</v>
      </c>
      <c r="G132" s="8">
        <v>18223</v>
      </c>
      <c r="H132" s="9">
        <f t="shared" si="0"/>
        <v>1.6593422263705776E-2</v>
      </c>
    </row>
    <row r="133" spans="1:8" ht="15.75" customHeight="1" x14ac:dyDescent="0.35">
      <c r="A133" s="12">
        <v>132</v>
      </c>
      <c r="B133" s="12" t="s">
        <v>288</v>
      </c>
      <c r="C133" s="12" t="s">
        <v>289</v>
      </c>
      <c r="D133" s="13" t="s">
        <v>174</v>
      </c>
      <c r="E133" s="14">
        <v>27.62</v>
      </c>
      <c r="F133" s="15">
        <v>163703</v>
      </c>
      <c r="G133" s="15">
        <v>3007669</v>
      </c>
      <c r="H133" s="16">
        <f t="shared" si="0"/>
        <v>1.7164159090299568E-2</v>
      </c>
    </row>
    <row r="134" spans="1:8" ht="15.75" customHeight="1" x14ac:dyDescent="0.35">
      <c r="A134" s="5">
        <v>133</v>
      </c>
      <c r="B134" s="5" t="s">
        <v>290</v>
      </c>
      <c r="C134" s="5" t="s">
        <v>291</v>
      </c>
      <c r="D134" s="6" t="s">
        <v>18</v>
      </c>
      <c r="E134" s="7">
        <v>27.26</v>
      </c>
      <c r="F134" s="8">
        <v>3543</v>
      </c>
      <c r="G134" s="8">
        <v>17467</v>
      </c>
      <c r="H134" s="9">
        <f t="shared" si="0"/>
        <v>1.7390831770875789E-2</v>
      </c>
    </row>
    <row r="135" spans="1:8" ht="15.75" customHeight="1" x14ac:dyDescent="0.35">
      <c r="A135" s="12">
        <v>134</v>
      </c>
      <c r="B135" s="12" t="s">
        <v>292</v>
      </c>
      <c r="C135" s="12" t="s">
        <v>293</v>
      </c>
      <c r="D135" s="13" t="s">
        <v>76</v>
      </c>
      <c r="E135" s="14">
        <v>26.84</v>
      </c>
      <c r="F135" s="15">
        <v>397</v>
      </c>
      <c r="G135" s="15">
        <v>1983</v>
      </c>
      <c r="H135" s="16">
        <f t="shared" si="0"/>
        <v>1.7662968482640613E-2</v>
      </c>
    </row>
    <row r="136" spans="1:8" ht="15.75" customHeight="1" x14ac:dyDescent="0.35">
      <c r="A136" s="5">
        <v>135</v>
      </c>
      <c r="B136" s="5" t="s">
        <v>294</v>
      </c>
      <c r="C136" s="5" t="s">
        <v>295</v>
      </c>
      <c r="D136" s="6" t="s">
        <v>159</v>
      </c>
      <c r="E136" s="7">
        <v>26.78</v>
      </c>
      <c r="F136" s="8">
        <v>25141</v>
      </c>
      <c r="G136" s="8">
        <v>107741</v>
      </c>
      <c r="H136" s="9">
        <f t="shared" si="0"/>
        <v>1.7702541974386633E-2</v>
      </c>
    </row>
    <row r="137" spans="1:8" ht="15.75" customHeight="1" x14ac:dyDescent="0.35">
      <c r="A137" s="12">
        <v>136</v>
      </c>
      <c r="B137" s="12" t="s">
        <v>296</v>
      </c>
      <c r="C137" s="12" t="s">
        <v>297</v>
      </c>
      <c r="D137" s="13" t="s">
        <v>18</v>
      </c>
      <c r="E137" s="14">
        <v>25.97</v>
      </c>
      <c r="F137" s="15">
        <v>101672</v>
      </c>
      <c r="G137" s="15">
        <v>326320</v>
      </c>
      <c r="H137" s="16">
        <f t="shared" si="0"/>
        <v>1.8254681327457608E-2</v>
      </c>
    </row>
    <row r="138" spans="1:8" ht="15.75" customHeight="1" x14ac:dyDescent="0.35">
      <c r="A138" s="5">
        <v>137</v>
      </c>
      <c r="B138" s="5" t="s">
        <v>298</v>
      </c>
      <c r="C138" s="5" t="s">
        <v>299</v>
      </c>
      <c r="D138" s="6" t="s">
        <v>79</v>
      </c>
      <c r="E138" s="7">
        <v>25.86</v>
      </c>
      <c r="F138" s="8">
        <v>2423</v>
      </c>
      <c r="G138" s="8">
        <v>9803</v>
      </c>
      <c r="H138" s="9">
        <f t="shared" si="0"/>
        <v>1.8332330783993586E-2</v>
      </c>
    </row>
    <row r="139" spans="1:8" ht="15.75" customHeight="1" x14ac:dyDescent="0.35">
      <c r="A139" s="12">
        <v>138</v>
      </c>
      <c r="B139" s="12" t="s">
        <v>300</v>
      </c>
      <c r="C139" s="12" t="s">
        <v>301</v>
      </c>
      <c r="D139" s="13" t="s">
        <v>50</v>
      </c>
      <c r="E139" s="14">
        <v>25.2</v>
      </c>
      <c r="F139" s="15">
        <v>35319</v>
      </c>
      <c r="G139" s="15">
        <v>76506</v>
      </c>
      <c r="H139" s="16">
        <f t="shared" si="0"/>
        <v>1.8812463256907701E-2</v>
      </c>
    </row>
    <row r="140" spans="1:8" ht="15.75" customHeight="1" x14ac:dyDescent="0.35">
      <c r="A140" s="5">
        <v>139</v>
      </c>
      <c r="B140" s="5" t="s">
        <v>302</v>
      </c>
      <c r="C140" s="5" t="s">
        <v>303</v>
      </c>
      <c r="D140" s="6" t="s">
        <v>18</v>
      </c>
      <c r="E140" s="7">
        <v>25.14</v>
      </c>
      <c r="F140" s="8">
        <v>6728</v>
      </c>
      <c r="G140" s="8">
        <v>23361</v>
      </c>
      <c r="H140" s="9">
        <f t="shared" si="0"/>
        <v>1.885736173723445E-2</v>
      </c>
    </row>
    <row r="141" spans="1:8" ht="15.75" customHeight="1" x14ac:dyDescent="0.35">
      <c r="A141" s="12">
        <v>140</v>
      </c>
      <c r="B141" s="12" t="s">
        <v>304</v>
      </c>
      <c r="C141" s="12" t="s">
        <v>305</v>
      </c>
      <c r="D141" s="13" t="s">
        <v>18</v>
      </c>
      <c r="E141" s="14">
        <v>24.54</v>
      </c>
      <c r="F141" s="15">
        <v>23972</v>
      </c>
      <c r="G141" s="15">
        <v>133156</v>
      </c>
      <c r="H141" s="16">
        <f t="shared" si="0"/>
        <v>1.9318421926408886E-2</v>
      </c>
    </row>
    <row r="142" spans="1:8" ht="15.75" customHeight="1" x14ac:dyDescent="0.35">
      <c r="A142" s="5">
        <v>141</v>
      </c>
      <c r="B142" s="5" t="s">
        <v>306</v>
      </c>
      <c r="C142" s="5" t="s">
        <v>307</v>
      </c>
      <c r="D142" s="6" t="s">
        <v>45</v>
      </c>
      <c r="E142" s="7">
        <v>23.33</v>
      </c>
      <c r="F142" s="8">
        <v>328330</v>
      </c>
      <c r="G142" s="8">
        <v>1537375</v>
      </c>
      <c r="H142" s="9">
        <f t="shared" si="0"/>
        <v>2.0320363226492676E-2</v>
      </c>
    </row>
    <row r="143" spans="1:8" ht="15.75" customHeight="1" x14ac:dyDescent="0.35">
      <c r="A143" s="12">
        <v>142</v>
      </c>
      <c r="B143" s="12" t="s">
        <v>308</v>
      </c>
      <c r="C143" s="12" t="s">
        <v>309</v>
      </c>
      <c r="D143" s="13" t="s">
        <v>174</v>
      </c>
      <c r="E143" s="14">
        <v>22.57</v>
      </c>
      <c r="F143" s="15">
        <v>54110</v>
      </c>
      <c r="G143" s="15">
        <v>402073</v>
      </c>
      <c r="H143" s="16">
        <f t="shared" si="0"/>
        <v>2.1004611168545594E-2</v>
      </c>
    </row>
    <row r="144" spans="1:8" ht="15.75" customHeight="1" x14ac:dyDescent="0.35">
      <c r="A144" s="5">
        <v>143</v>
      </c>
      <c r="B144" s="5" t="s">
        <v>310</v>
      </c>
      <c r="C144" s="5" t="s">
        <v>311</v>
      </c>
      <c r="D144" s="6" t="s">
        <v>181</v>
      </c>
      <c r="E144" s="7">
        <v>21.77</v>
      </c>
      <c r="F144" s="8">
        <v>20604</v>
      </c>
      <c r="G144" s="8">
        <v>126392</v>
      </c>
      <c r="H144" s="9">
        <f t="shared" si="0"/>
        <v>2.1776484798992839E-2</v>
      </c>
    </row>
    <row r="145" spans="1:8" ht="15.75" customHeight="1" x14ac:dyDescent="0.35">
      <c r="A145" s="12">
        <v>144</v>
      </c>
      <c r="B145" s="12" t="s">
        <v>312</v>
      </c>
      <c r="C145" s="12" t="s">
        <v>313</v>
      </c>
      <c r="D145" s="13" t="s">
        <v>18</v>
      </c>
      <c r="E145" s="14">
        <v>21.24</v>
      </c>
      <c r="F145" s="15">
        <v>1571</v>
      </c>
      <c r="G145" s="15">
        <v>4355</v>
      </c>
      <c r="H145" s="16">
        <f t="shared" si="0"/>
        <v>2.2319871660737952E-2</v>
      </c>
    </row>
    <row r="146" spans="1:8" ht="15.75" customHeight="1" x14ac:dyDescent="0.35">
      <c r="A146" s="5">
        <v>145</v>
      </c>
      <c r="B146" s="5" t="s">
        <v>314</v>
      </c>
      <c r="C146" s="5" t="s">
        <v>315</v>
      </c>
      <c r="D146" s="6" t="s">
        <v>159</v>
      </c>
      <c r="E146" s="7">
        <v>21.21</v>
      </c>
      <c r="F146" s="8">
        <v>29327</v>
      </c>
      <c r="G146" s="8">
        <v>486243</v>
      </c>
      <c r="H146" s="9">
        <f t="shared" si="0"/>
        <v>2.2351441493355686E-2</v>
      </c>
    </row>
    <row r="147" spans="1:8" ht="15.75" customHeight="1" x14ac:dyDescent="0.35">
      <c r="A147" s="12">
        <v>146</v>
      </c>
      <c r="B147" s="12" t="s">
        <v>316</v>
      </c>
      <c r="C147" s="12" t="s">
        <v>317</v>
      </c>
      <c r="D147" s="13" t="s">
        <v>159</v>
      </c>
      <c r="E147" s="14">
        <v>20.83</v>
      </c>
      <c r="F147" s="15">
        <v>24282</v>
      </c>
      <c r="G147" s="15">
        <v>77803</v>
      </c>
      <c r="H147" s="16">
        <f t="shared" si="0"/>
        <v>2.2759197027079892E-2</v>
      </c>
    </row>
    <row r="148" spans="1:8" ht="15.75" customHeight="1" x14ac:dyDescent="0.35">
      <c r="A148" s="5">
        <v>147</v>
      </c>
      <c r="B148" s="5" t="s">
        <v>318</v>
      </c>
      <c r="C148" s="5" t="s">
        <v>319</v>
      </c>
      <c r="D148" s="6" t="s">
        <v>174</v>
      </c>
      <c r="E148" s="7">
        <v>20.71</v>
      </c>
      <c r="F148" s="8">
        <v>949</v>
      </c>
      <c r="G148" s="8">
        <v>1696</v>
      </c>
      <c r="H148" s="9">
        <f t="shared" si="0"/>
        <v>2.2891070694064417E-2</v>
      </c>
    </row>
    <row r="149" spans="1:8" ht="15.75" customHeight="1" x14ac:dyDescent="0.35">
      <c r="A149" s="12">
        <v>148</v>
      </c>
      <c r="B149" s="12" t="s">
        <v>320</v>
      </c>
      <c r="C149" s="12" t="s">
        <v>321</v>
      </c>
      <c r="D149" s="13" t="s">
        <v>45</v>
      </c>
      <c r="E149" s="14">
        <v>20.14</v>
      </c>
      <c r="F149" s="15">
        <v>69051</v>
      </c>
      <c r="G149" s="15">
        <v>305833</v>
      </c>
      <c r="H149" s="16">
        <f t="shared" si="0"/>
        <v>2.353893118540586E-2</v>
      </c>
    </row>
    <row r="150" spans="1:8" ht="15.75" customHeight="1" x14ac:dyDescent="0.35">
      <c r="A150" s="5">
        <v>149</v>
      </c>
      <c r="B150" s="5" t="s">
        <v>322</v>
      </c>
      <c r="C150" s="5" t="s">
        <v>323</v>
      </c>
      <c r="D150" s="6" t="s">
        <v>174</v>
      </c>
      <c r="E150" s="7">
        <v>20.09</v>
      </c>
      <c r="F150" s="8">
        <v>1545</v>
      </c>
      <c r="G150" s="8">
        <v>6872</v>
      </c>
      <c r="H150" s="9">
        <f t="shared" si="0"/>
        <v>2.3597514886713491E-2</v>
      </c>
    </row>
    <row r="151" spans="1:8" ht="15.75" customHeight="1" x14ac:dyDescent="0.35">
      <c r="A151" s="12">
        <v>150</v>
      </c>
      <c r="B151" s="12" t="s">
        <v>324</v>
      </c>
      <c r="C151" s="12" t="s">
        <v>325</v>
      </c>
      <c r="D151" s="13" t="s">
        <v>326</v>
      </c>
      <c r="E151" s="14">
        <v>19.61</v>
      </c>
      <c r="F151" s="15">
        <v>2516469</v>
      </c>
      <c r="G151" s="15">
        <v>13761151</v>
      </c>
      <c r="H151" s="16">
        <f t="shared" si="0"/>
        <v>2.4175118514741155E-2</v>
      </c>
    </row>
    <row r="152" spans="1:8" ht="15.75" customHeight="1" x14ac:dyDescent="0.35">
      <c r="A152" s="5">
        <v>151</v>
      </c>
      <c r="B152" s="5" t="s">
        <v>327</v>
      </c>
      <c r="C152" s="5" t="s">
        <v>328</v>
      </c>
      <c r="D152" s="6" t="s">
        <v>18</v>
      </c>
      <c r="E152" s="7">
        <v>19.54</v>
      </c>
      <c r="F152" s="8">
        <v>6924558</v>
      </c>
      <c r="G152" s="8">
        <v>69050606</v>
      </c>
      <c r="H152" s="9">
        <f t="shared" si="0"/>
        <v>2.4261723340536032E-2</v>
      </c>
    </row>
    <row r="153" spans="1:8" ht="15.75" customHeight="1" x14ac:dyDescent="0.35">
      <c r="A153" s="12">
        <v>152</v>
      </c>
      <c r="B153" s="12" t="s">
        <v>329</v>
      </c>
      <c r="C153" s="12" t="s">
        <v>330</v>
      </c>
      <c r="D153" s="13" t="s">
        <v>18</v>
      </c>
      <c r="E153" s="14">
        <v>19.14</v>
      </c>
      <c r="F153" s="15">
        <v>10909</v>
      </c>
      <c r="G153" s="15">
        <v>66818</v>
      </c>
      <c r="H153" s="16">
        <f t="shared" si="0"/>
        <v>2.476876040094431E-2</v>
      </c>
    </row>
    <row r="154" spans="1:8" ht="15.75" customHeight="1" x14ac:dyDescent="0.35">
      <c r="A154" s="5">
        <v>153</v>
      </c>
      <c r="B154" s="5" t="s">
        <v>331</v>
      </c>
      <c r="C154" s="5" t="s">
        <v>332</v>
      </c>
      <c r="D154" s="6" t="s">
        <v>18</v>
      </c>
      <c r="E154" s="7">
        <v>18.45</v>
      </c>
      <c r="F154" s="8">
        <v>67731</v>
      </c>
      <c r="G154" s="8">
        <v>144878</v>
      </c>
      <c r="H154" s="9">
        <f t="shared" si="0"/>
        <v>2.5695071765532474E-2</v>
      </c>
    </row>
    <row r="155" spans="1:8" ht="15.75" customHeight="1" x14ac:dyDescent="0.35">
      <c r="A155" s="12">
        <v>154</v>
      </c>
      <c r="B155" s="12" t="s">
        <v>333</v>
      </c>
      <c r="C155" s="12" t="s">
        <v>334</v>
      </c>
      <c r="D155" s="13" t="s">
        <v>79</v>
      </c>
      <c r="E155" s="14">
        <v>18.170000000000002</v>
      </c>
      <c r="F155" s="15">
        <v>5555</v>
      </c>
      <c r="G155" s="15">
        <v>19108</v>
      </c>
      <c r="H155" s="16">
        <f t="shared" si="0"/>
        <v>2.6091033245683768E-2</v>
      </c>
    </row>
    <row r="156" spans="1:8" ht="15.75" customHeight="1" x14ac:dyDescent="0.35">
      <c r="A156" s="5">
        <v>155</v>
      </c>
      <c r="B156" s="5" t="s">
        <v>335</v>
      </c>
      <c r="C156" s="5" t="s">
        <v>336</v>
      </c>
      <c r="D156" s="6" t="s">
        <v>76</v>
      </c>
      <c r="E156" s="7">
        <v>17.82</v>
      </c>
      <c r="F156" s="8">
        <v>198</v>
      </c>
      <c r="G156" s="8">
        <v>586</v>
      </c>
      <c r="H156" s="9">
        <f t="shared" si="0"/>
        <v>2.6603483393606849E-2</v>
      </c>
    </row>
    <row r="157" spans="1:8" ht="15.75" customHeight="1" x14ac:dyDescent="0.35">
      <c r="A157" s="12">
        <v>156</v>
      </c>
      <c r="B157" s="12" t="s">
        <v>337</v>
      </c>
      <c r="C157" s="12" t="s">
        <v>338</v>
      </c>
      <c r="D157" s="13" t="s">
        <v>174</v>
      </c>
      <c r="E157" s="14">
        <v>17.670000000000002</v>
      </c>
      <c r="F157" s="15">
        <v>18138</v>
      </c>
      <c r="G157" s="15">
        <v>60828</v>
      </c>
      <c r="H157" s="16">
        <f t="shared" si="0"/>
        <v>2.6829319415623883E-2</v>
      </c>
    </row>
    <row r="158" spans="1:8" ht="15.75" customHeight="1" x14ac:dyDescent="0.35">
      <c r="A158" s="5">
        <v>157</v>
      </c>
      <c r="B158" s="5" t="s">
        <v>339</v>
      </c>
      <c r="C158" s="5" t="s">
        <v>340</v>
      </c>
      <c r="D158" s="6" t="s">
        <v>174</v>
      </c>
      <c r="E158" s="7">
        <v>17.45</v>
      </c>
      <c r="F158" s="8">
        <v>1007</v>
      </c>
      <c r="G158" s="8">
        <v>2298</v>
      </c>
      <c r="H158" s="9">
        <f t="shared" si="0"/>
        <v>2.7167568714846657E-2</v>
      </c>
    </row>
    <row r="159" spans="1:8" ht="15.75" customHeight="1" x14ac:dyDescent="0.35">
      <c r="A159" s="12">
        <v>158</v>
      </c>
      <c r="B159" s="12" t="s">
        <v>341</v>
      </c>
      <c r="C159" s="12" t="s">
        <v>342</v>
      </c>
      <c r="D159" s="13" t="s">
        <v>174</v>
      </c>
      <c r="E159" s="14">
        <v>16.77</v>
      </c>
      <c r="F159" s="15">
        <v>7783</v>
      </c>
      <c r="G159" s="15">
        <v>28977</v>
      </c>
      <c r="H159" s="16">
        <f t="shared" si="0"/>
        <v>2.8269175555997259E-2</v>
      </c>
    </row>
    <row r="160" spans="1:8" ht="15.75" customHeight="1" x14ac:dyDescent="0.35">
      <c r="A160" s="5">
        <v>159</v>
      </c>
      <c r="B160" s="5" t="s">
        <v>343</v>
      </c>
      <c r="C160" s="5" t="s">
        <v>344</v>
      </c>
      <c r="D160" s="6" t="s">
        <v>174</v>
      </c>
      <c r="E160" s="7">
        <v>16.59</v>
      </c>
      <c r="F160" s="8">
        <v>73386</v>
      </c>
      <c r="G160" s="8">
        <v>810061</v>
      </c>
      <c r="H160" s="9">
        <f t="shared" si="0"/>
        <v>2.8575893554796509E-2</v>
      </c>
    </row>
    <row r="161" spans="1:8" ht="15.75" customHeight="1" x14ac:dyDescent="0.35">
      <c r="A161" s="12">
        <v>160</v>
      </c>
      <c r="B161" s="12" t="s">
        <v>345</v>
      </c>
      <c r="C161" s="12" t="s">
        <v>346</v>
      </c>
      <c r="D161" s="13" t="s">
        <v>174</v>
      </c>
      <c r="E161" s="14">
        <v>16.25</v>
      </c>
      <c r="F161" s="15">
        <v>5595</v>
      </c>
      <c r="G161" s="15">
        <v>25208</v>
      </c>
      <c r="H161" s="16">
        <f t="shared" si="0"/>
        <v>2.9173789173789176E-2</v>
      </c>
    </row>
    <row r="162" spans="1:8" ht="15.75" customHeight="1" x14ac:dyDescent="0.35">
      <c r="A162" s="5">
        <v>161</v>
      </c>
      <c r="B162" s="5" t="s">
        <v>347</v>
      </c>
      <c r="C162" s="5" t="s">
        <v>348</v>
      </c>
      <c r="D162" s="6" t="s">
        <v>76</v>
      </c>
      <c r="E162" s="7">
        <v>16.170000000000002</v>
      </c>
      <c r="F162" s="8">
        <v>227</v>
      </c>
      <c r="G162" s="8">
        <v>2298</v>
      </c>
      <c r="H162" s="9">
        <f t="shared" si="0"/>
        <v>2.931812455621979E-2</v>
      </c>
    </row>
    <row r="163" spans="1:8" ht="15.75" customHeight="1" x14ac:dyDescent="0.35">
      <c r="A163" s="12">
        <v>162</v>
      </c>
      <c r="B163" s="12" t="s">
        <v>349</v>
      </c>
      <c r="C163" s="12" t="s">
        <v>350</v>
      </c>
      <c r="D163" s="13" t="s">
        <v>174</v>
      </c>
      <c r="E163" s="14">
        <v>15.91</v>
      </c>
      <c r="F163" s="15">
        <v>10833</v>
      </c>
      <c r="G163" s="15">
        <v>36702</v>
      </c>
      <c r="H163" s="16">
        <f t="shared" si="0"/>
        <v>2.9797239099564679E-2</v>
      </c>
    </row>
    <row r="164" spans="1:8" ht="15.75" customHeight="1" x14ac:dyDescent="0.35">
      <c r="A164" s="5">
        <v>163</v>
      </c>
      <c r="B164" s="5" t="s">
        <v>351</v>
      </c>
      <c r="C164" s="5" t="s">
        <v>352</v>
      </c>
      <c r="D164" s="6" t="s">
        <v>174</v>
      </c>
      <c r="E164" s="7">
        <v>15.54</v>
      </c>
      <c r="F164" s="8">
        <v>4055</v>
      </c>
      <c r="G164" s="8">
        <v>18886</v>
      </c>
      <c r="H164" s="9">
        <f t="shared" si="0"/>
        <v>3.050669717336384E-2</v>
      </c>
    </row>
    <row r="165" spans="1:8" ht="15.75" customHeight="1" x14ac:dyDescent="0.35">
      <c r="A165" s="12">
        <v>164</v>
      </c>
      <c r="B165" s="12" t="s">
        <v>353</v>
      </c>
      <c r="C165" s="12" t="s">
        <v>354</v>
      </c>
      <c r="D165" s="13" t="s">
        <v>76</v>
      </c>
      <c r="E165" s="14">
        <v>15.52</v>
      </c>
      <c r="F165" s="15">
        <v>1224</v>
      </c>
      <c r="G165" s="15">
        <v>5499</v>
      </c>
      <c r="H165" s="16">
        <f t="shared" si="0"/>
        <v>3.0546009927453228E-2</v>
      </c>
    </row>
    <row r="166" spans="1:8" ht="15.75" customHeight="1" x14ac:dyDescent="0.35">
      <c r="A166" s="5">
        <v>165</v>
      </c>
      <c r="B166" s="5" t="s">
        <v>355</v>
      </c>
      <c r="C166" s="5" t="s">
        <v>356</v>
      </c>
      <c r="D166" s="6" t="s">
        <v>174</v>
      </c>
      <c r="E166" s="7">
        <v>14.85</v>
      </c>
      <c r="F166" s="8">
        <v>14596</v>
      </c>
      <c r="G166" s="8">
        <v>30884</v>
      </c>
      <c r="H166" s="9">
        <f t="shared" si="0"/>
        <v>3.1924180072328223E-2</v>
      </c>
    </row>
    <row r="167" spans="1:8" ht="15.75" customHeight="1" x14ac:dyDescent="0.35">
      <c r="A167" s="12">
        <v>166</v>
      </c>
      <c r="B167" s="12" t="s">
        <v>357</v>
      </c>
      <c r="C167" s="12" t="s">
        <v>358</v>
      </c>
      <c r="D167" s="13" t="s">
        <v>174</v>
      </c>
      <c r="E167" s="14">
        <v>14.5</v>
      </c>
      <c r="F167" s="15">
        <v>3552</v>
      </c>
      <c r="G167" s="15">
        <v>9750</v>
      </c>
      <c r="H167" s="16">
        <f t="shared" si="0"/>
        <v>3.2694763729246491E-2</v>
      </c>
    </row>
    <row r="168" spans="1:8" ht="15.75" customHeight="1" x14ac:dyDescent="0.35">
      <c r="A168" s="5">
        <v>167</v>
      </c>
      <c r="B168" s="5" t="s">
        <v>359</v>
      </c>
      <c r="C168" s="5" t="s">
        <v>360</v>
      </c>
      <c r="D168" s="6" t="s">
        <v>174</v>
      </c>
      <c r="E168" s="7">
        <v>14.15</v>
      </c>
      <c r="F168" s="8">
        <v>71224</v>
      </c>
      <c r="G168" s="8">
        <v>390042</v>
      </c>
      <c r="H168" s="9">
        <f t="shared" si="0"/>
        <v>3.3503468132443398E-2</v>
      </c>
    </row>
    <row r="169" spans="1:8" ht="15.75" customHeight="1" x14ac:dyDescent="0.35">
      <c r="A169" s="12">
        <v>168</v>
      </c>
      <c r="B169" s="12" t="s">
        <v>361</v>
      </c>
      <c r="C169" s="12" t="s">
        <v>362</v>
      </c>
      <c r="D169" s="13" t="s">
        <v>76</v>
      </c>
      <c r="E169" s="14">
        <v>14.15</v>
      </c>
      <c r="F169" s="15">
        <v>23017</v>
      </c>
      <c r="G169" s="15">
        <v>60447</v>
      </c>
      <c r="H169" s="16">
        <f t="shared" si="0"/>
        <v>3.3503468132443398E-2</v>
      </c>
    </row>
    <row r="170" spans="1:8" ht="15.75" customHeight="1" x14ac:dyDescent="0.35">
      <c r="A170" s="5">
        <v>169</v>
      </c>
      <c r="B170" s="5" t="s">
        <v>363</v>
      </c>
      <c r="C170" s="5" t="s">
        <v>364</v>
      </c>
      <c r="D170" s="6" t="s">
        <v>159</v>
      </c>
      <c r="E170" s="7">
        <v>13.92</v>
      </c>
      <c r="F170" s="8">
        <v>141328</v>
      </c>
      <c r="G170" s="8">
        <v>563859</v>
      </c>
      <c r="H170" s="9">
        <f t="shared" si="0"/>
        <v>3.4057045551298425E-2</v>
      </c>
    </row>
    <row r="171" spans="1:8" ht="15.75" customHeight="1" x14ac:dyDescent="0.35">
      <c r="A171" s="12">
        <v>170</v>
      </c>
      <c r="B171" s="12" t="s">
        <v>365</v>
      </c>
      <c r="C171" s="12" t="s">
        <v>366</v>
      </c>
      <c r="D171" s="13" t="s">
        <v>159</v>
      </c>
      <c r="E171" s="14">
        <v>13.85</v>
      </c>
      <c r="F171" s="15">
        <v>53752</v>
      </c>
      <c r="G171" s="15">
        <v>237243</v>
      </c>
      <c r="H171" s="16">
        <f t="shared" si="0"/>
        <v>3.4229175023398853E-2</v>
      </c>
    </row>
    <row r="172" spans="1:8" ht="15.75" customHeight="1" x14ac:dyDescent="0.35">
      <c r="A172" s="5">
        <v>171</v>
      </c>
      <c r="B172" s="5" t="s">
        <v>367</v>
      </c>
      <c r="C172" s="5" t="s">
        <v>368</v>
      </c>
      <c r="D172" s="6" t="s">
        <v>45</v>
      </c>
      <c r="E172" s="7">
        <v>13.79</v>
      </c>
      <c r="F172" s="8">
        <v>3783</v>
      </c>
      <c r="G172" s="8">
        <v>11230</v>
      </c>
      <c r="H172" s="9">
        <f t="shared" si="0"/>
        <v>3.4378105444095294E-2</v>
      </c>
    </row>
    <row r="173" spans="1:8" ht="15.75" customHeight="1" x14ac:dyDescent="0.35">
      <c r="A173" s="12">
        <v>172</v>
      </c>
      <c r="B173" s="12" t="s">
        <v>369</v>
      </c>
      <c r="C173" s="12" t="s">
        <v>370</v>
      </c>
      <c r="D173" s="13" t="s">
        <v>174</v>
      </c>
      <c r="E173" s="14">
        <v>13.69</v>
      </c>
      <c r="F173" s="15">
        <v>509457</v>
      </c>
      <c r="G173" s="15">
        <v>9341908</v>
      </c>
      <c r="H173" s="16">
        <f t="shared" si="0"/>
        <v>3.4629223818413012E-2</v>
      </c>
    </row>
    <row r="174" spans="1:8" ht="15.75" customHeight="1" x14ac:dyDescent="0.35">
      <c r="A174" s="5">
        <v>173</v>
      </c>
      <c r="B174" s="5" t="s">
        <v>371</v>
      </c>
      <c r="C174" s="5" t="s">
        <v>372</v>
      </c>
      <c r="D174" s="6" t="s">
        <v>174</v>
      </c>
      <c r="E174" s="7">
        <v>13.59</v>
      </c>
      <c r="F174" s="8">
        <v>55209</v>
      </c>
      <c r="G174" s="8">
        <v>790809</v>
      </c>
      <c r="H174" s="9">
        <f t="shared" si="0"/>
        <v>3.488403782737852E-2</v>
      </c>
    </row>
    <row r="175" spans="1:8" ht="15.75" customHeight="1" x14ac:dyDescent="0.35">
      <c r="A175" s="12">
        <v>174</v>
      </c>
      <c r="B175" s="12" t="s">
        <v>373</v>
      </c>
      <c r="C175" s="12" t="s">
        <v>374</v>
      </c>
      <c r="D175" s="13" t="s">
        <v>76</v>
      </c>
      <c r="E175" s="14">
        <v>13.28</v>
      </c>
      <c r="F175" s="15">
        <v>3702</v>
      </c>
      <c r="G175" s="15">
        <v>26487</v>
      </c>
      <c r="H175" s="16">
        <f t="shared" si="0"/>
        <v>3.5698348951361002E-2</v>
      </c>
    </row>
    <row r="176" spans="1:8" ht="15.75" customHeight="1" x14ac:dyDescent="0.35">
      <c r="A176" s="5">
        <v>175</v>
      </c>
      <c r="B176" s="5" t="s">
        <v>375</v>
      </c>
      <c r="C176" s="5" t="s">
        <v>376</v>
      </c>
      <c r="D176" s="6" t="s">
        <v>18</v>
      </c>
      <c r="E176" s="7">
        <v>13.28</v>
      </c>
      <c r="F176" s="8">
        <v>63816</v>
      </c>
      <c r="G176" s="8">
        <v>335911</v>
      </c>
      <c r="H176" s="9">
        <f t="shared" si="0"/>
        <v>3.5698348951361002E-2</v>
      </c>
    </row>
    <row r="177" spans="1:8" ht="15.75" customHeight="1" x14ac:dyDescent="0.35">
      <c r="A177" s="12">
        <v>176</v>
      </c>
      <c r="B177" s="12" t="s">
        <v>377</v>
      </c>
      <c r="C177" s="12" t="s">
        <v>378</v>
      </c>
      <c r="D177" s="13" t="s">
        <v>174</v>
      </c>
      <c r="E177" s="14">
        <v>13.26</v>
      </c>
      <c r="F177" s="15">
        <v>60311</v>
      </c>
      <c r="G177" s="15">
        <v>853955</v>
      </c>
      <c r="H177" s="16">
        <f t="shared" si="0"/>
        <v>3.5752192614937714E-2</v>
      </c>
    </row>
    <row r="178" spans="1:8" ht="15.75" customHeight="1" x14ac:dyDescent="0.35">
      <c r="A178" s="5">
        <v>177</v>
      </c>
      <c r="B178" s="5" t="s">
        <v>379</v>
      </c>
      <c r="C178" s="5" t="s">
        <v>380</v>
      </c>
      <c r="D178" s="6" t="s">
        <v>79</v>
      </c>
      <c r="E178" s="7">
        <v>13.21</v>
      </c>
      <c r="F178" s="8">
        <v>7010</v>
      </c>
      <c r="G178" s="8">
        <v>23523</v>
      </c>
      <c r="H178" s="9">
        <f t="shared" si="0"/>
        <v>3.5887515069952615E-2</v>
      </c>
    </row>
    <row r="179" spans="1:8" ht="15.75" customHeight="1" x14ac:dyDescent="0.35">
      <c r="A179" s="12">
        <v>178</v>
      </c>
      <c r="B179" s="12" t="s">
        <v>381</v>
      </c>
      <c r="C179" s="12" t="s">
        <v>382</v>
      </c>
      <c r="D179" s="13" t="s">
        <v>174</v>
      </c>
      <c r="E179" s="14">
        <v>13.14</v>
      </c>
      <c r="F179" s="15">
        <v>3854</v>
      </c>
      <c r="G179" s="15">
        <v>11361</v>
      </c>
      <c r="H179" s="16">
        <f t="shared" si="0"/>
        <v>3.6078696657083263E-2</v>
      </c>
    </row>
    <row r="180" spans="1:8" ht="15.75" customHeight="1" x14ac:dyDescent="0.35">
      <c r="A180" s="5">
        <v>179</v>
      </c>
      <c r="B180" s="5" t="s">
        <v>383</v>
      </c>
      <c r="C180" s="5" t="s">
        <v>384</v>
      </c>
      <c r="D180" s="6" t="s">
        <v>174</v>
      </c>
      <c r="E180" s="7">
        <v>12.81</v>
      </c>
      <c r="F180" s="8">
        <v>6430</v>
      </c>
      <c r="G180" s="8">
        <v>19969</v>
      </c>
      <c r="H180" s="9">
        <f t="shared" si="0"/>
        <v>3.7008124439818428E-2</v>
      </c>
    </row>
    <row r="181" spans="1:8" ht="15.75" customHeight="1" x14ac:dyDescent="0.35">
      <c r="A181" s="12">
        <v>180</v>
      </c>
      <c r="B181" s="12" t="s">
        <v>385</v>
      </c>
      <c r="C181" s="12" t="s">
        <v>386</v>
      </c>
      <c r="D181" s="13" t="s">
        <v>174</v>
      </c>
      <c r="E181" s="14">
        <v>12.79</v>
      </c>
      <c r="F181" s="15">
        <v>13234</v>
      </c>
      <c r="G181" s="15">
        <v>32458</v>
      </c>
      <c r="H181" s="16">
        <f t="shared" si="0"/>
        <v>3.706599484551009E-2</v>
      </c>
    </row>
    <row r="182" spans="1:8" ht="15.75" customHeight="1" x14ac:dyDescent="0.35">
      <c r="A182" s="5">
        <v>181</v>
      </c>
      <c r="B182" s="5" t="s">
        <v>387</v>
      </c>
      <c r="C182" s="5" t="s">
        <v>388</v>
      </c>
      <c r="D182" s="6" t="s">
        <v>326</v>
      </c>
      <c r="E182" s="7">
        <v>12.64</v>
      </c>
      <c r="F182" s="8">
        <v>565025</v>
      </c>
      <c r="G182" s="8">
        <v>942899</v>
      </c>
      <c r="H182" s="9">
        <f t="shared" si="0"/>
        <v>3.750586029067042E-2</v>
      </c>
    </row>
    <row r="183" spans="1:8" ht="15.75" customHeight="1" x14ac:dyDescent="0.35">
      <c r="A183" s="12">
        <v>182</v>
      </c>
      <c r="B183" s="12" t="s">
        <v>389</v>
      </c>
      <c r="C183" s="12" t="s">
        <v>390</v>
      </c>
      <c r="D183" s="13" t="s">
        <v>174</v>
      </c>
      <c r="E183" s="14">
        <v>12.45</v>
      </c>
      <c r="F183" s="15">
        <v>1050</v>
      </c>
      <c r="G183" s="15">
        <v>6001</v>
      </c>
      <c r="H183" s="16">
        <f t="shared" si="0"/>
        <v>3.8078238881451731E-2</v>
      </c>
    </row>
    <row r="184" spans="1:8" ht="15.75" customHeight="1" x14ac:dyDescent="0.35">
      <c r="A184" s="5">
        <v>183</v>
      </c>
      <c r="B184" s="5" t="s">
        <v>391</v>
      </c>
      <c r="C184" s="5" t="s">
        <v>392</v>
      </c>
      <c r="D184" s="6" t="s">
        <v>326</v>
      </c>
      <c r="E184" s="7">
        <v>12.35</v>
      </c>
      <c r="F184" s="8">
        <v>374332</v>
      </c>
      <c r="G184" s="8">
        <v>675687</v>
      </c>
      <c r="H184" s="9">
        <f t="shared" si="0"/>
        <v>3.8386564702354173E-2</v>
      </c>
    </row>
    <row r="185" spans="1:8" ht="15.75" customHeight="1" x14ac:dyDescent="0.35">
      <c r="A185" s="12">
        <v>184</v>
      </c>
      <c r="B185" s="12" t="s">
        <v>393</v>
      </c>
      <c r="C185" s="12" t="s">
        <v>394</v>
      </c>
      <c r="D185" s="13" t="s">
        <v>174</v>
      </c>
      <c r="E185" s="14">
        <v>12.16</v>
      </c>
      <c r="F185" s="15">
        <v>40398</v>
      </c>
      <c r="G185" s="15">
        <v>120660</v>
      </c>
      <c r="H185" s="16">
        <f t="shared" si="0"/>
        <v>3.8986354775828458E-2</v>
      </c>
    </row>
    <row r="186" spans="1:8" ht="15.75" customHeight="1" x14ac:dyDescent="0.35">
      <c r="A186" s="5">
        <v>185</v>
      </c>
      <c r="B186" s="5" t="s">
        <v>395</v>
      </c>
      <c r="C186" s="5" t="s">
        <v>396</v>
      </c>
      <c r="D186" s="6" t="s">
        <v>76</v>
      </c>
      <c r="E186" s="7">
        <v>11.54</v>
      </c>
      <c r="F186" s="8">
        <v>156</v>
      </c>
      <c r="G186" s="8">
        <v>1738</v>
      </c>
      <c r="H186" s="9">
        <f t="shared" si="0"/>
        <v>4.1080942294113874E-2</v>
      </c>
    </row>
    <row r="187" spans="1:8" ht="15.75" customHeight="1" x14ac:dyDescent="0.35">
      <c r="A187" s="12">
        <v>186</v>
      </c>
      <c r="B187" s="12" t="s">
        <v>397</v>
      </c>
      <c r="C187" s="12" t="s">
        <v>398</v>
      </c>
      <c r="D187" s="13" t="s">
        <v>174</v>
      </c>
      <c r="E187" s="14">
        <v>11.48</v>
      </c>
      <c r="F187" s="15">
        <v>7458</v>
      </c>
      <c r="G187" s="15">
        <v>19105</v>
      </c>
      <c r="H187" s="16">
        <f t="shared" si="0"/>
        <v>4.1295651051748608E-2</v>
      </c>
    </row>
    <row r="188" spans="1:8" ht="15.75" customHeight="1" x14ac:dyDescent="0.35">
      <c r="A188" s="5">
        <v>187</v>
      </c>
      <c r="B188" s="5" t="s">
        <v>399</v>
      </c>
      <c r="C188" s="5" t="s">
        <v>400</v>
      </c>
      <c r="D188" s="6" t="s">
        <v>174</v>
      </c>
      <c r="E188" s="7">
        <v>11.44</v>
      </c>
      <c r="F188" s="8">
        <v>2458</v>
      </c>
      <c r="G188" s="8">
        <v>7310</v>
      </c>
      <c r="H188" s="9">
        <f t="shared" si="0"/>
        <v>4.1440041440041445E-2</v>
      </c>
    </row>
    <row r="189" spans="1:8" ht="15.75" customHeight="1" x14ac:dyDescent="0.35">
      <c r="A189" s="12">
        <v>188</v>
      </c>
      <c r="B189" s="12" t="s">
        <v>401</v>
      </c>
      <c r="C189" s="12" t="s">
        <v>402</v>
      </c>
      <c r="D189" s="13" t="s">
        <v>159</v>
      </c>
      <c r="E189" s="14">
        <v>11.31</v>
      </c>
      <c r="F189" s="15">
        <v>12619</v>
      </c>
      <c r="G189" s="15">
        <v>42434</v>
      </c>
      <c r="H189" s="16">
        <f t="shared" si="0"/>
        <v>4.1916363755444219E-2</v>
      </c>
    </row>
    <row r="190" spans="1:8" ht="15.75" customHeight="1" x14ac:dyDescent="0.35">
      <c r="A190" s="5">
        <v>189</v>
      </c>
      <c r="B190" s="5" t="s">
        <v>403</v>
      </c>
      <c r="C190" s="5" t="s">
        <v>404</v>
      </c>
      <c r="D190" s="6" t="s">
        <v>326</v>
      </c>
      <c r="E190" s="7">
        <v>11.18</v>
      </c>
      <c r="F190" s="8">
        <v>1632674</v>
      </c>
      <c r="G190" s="8">
        <v>5589929</v>
      </c>
      <c r="H190" s="9">
        <f t="shared" si="0"/>
        <v>4.2403763333995891E-2</v>
      </c>
    </row>
    <row r="191" spans="1:8" ht="15.75" customHeight="1" x14ac:dyDescent="0.35">
      <c r="A191" s="12">
        <v>190</v>
      </c>
      <c r="B191" s="12" t="s">
        <v>405</v>
      </c>
      <c r="C191" s="12" t="s">
        <v>406</v>
      </c>
      <c r="D191" s="13" t="s">
        <v>326</v>
      </c>
      <c r="E191" s="14">
        <v>10.94</v>
      </c>
      <c r="F191" s="15">
        <v>4120</v>
      </c>
      <c r="G191" s="15">
        <v>20764</v>
      </c>
      <c r="H191" s="16">
        <f t="shared" si="0"/>
        <v>4.3334010427246258E-2</v>
      </c>
    </row>
    <row r="192" spans="1:8" ht="15.75" customHeight="1" x14ac:dyDescent="0.35">
      <c r="A192" s="5">
        <v>191</v>
      </c>
      <c r="B192" s="5" t="s">
        <v>407</v>
      </c>
      <c r="C192" s="5" t="s">
        <v>408</v>
      </c>
      <c r="D192" s="6" t="s">
        <v>174</v>
      </c>
      <c r="E192" s="7">
        <v>10.54</v>
      </c>
      <c r="F192" s="8">
        <v>19037</v>
      </c>
      <c r="G192" s="8">
        <v>46556</v>
      </c>
      <c r="H192" s="9">
        <f t="shared" si="0"/>
        <v>4.4978564902663581E-2</v>
      </c>
    </row>
    <row r="193" spans="1:8" ht="15.75" customHeight="1" x14ac:dyDescent="0.35">
      <c r="A193" s="12">
        <v>192</v>
      </c>
      <c r="B193" s="12" t="s">
        <v>409</v>
      </c>
      <c r="C193" s="12" t="s">
        <v>410</v>
      </c>
      <c r="D193" s="13" t="s">
        <v>174</v>
      </c>
      <c r="E193" s="14">
        <v>10.47</v>
      </c>
      <c r="F193" s="15">
        <v>668</v>
      </c>
      <c r="G193" s="15">
        <v>1858</v>
      </c>
      <c r="H193" s="16">
        <f t="shared" si="0"/>
        <v>4.5279281191411079E-2</v>
      </c>
    </row>
    <row r="194" spans="1:8" ht="15.75" customHeight="1" x14ac:dyDescent="0.35">
      <c r="A194" s="5">
        <v>193</v>
      </c>
      <c r="B194" s="5" t="s">
        <v>411</v>
      </c>
      <c r="C194" s="5" t="s">
        <v>412</v>
      </c>
      <c r="D194" s="6" t="s">
        <v>50</v>
      </c>
      <c r="E194" s="7">
        <v>10.39</v>
      </c>
      <c r="F194" s="8">
        <v>112908</v>
      </c>
      <c r="G194" s="8">
        <v>736507</v>
      </c>
      <c r="H194" s="9">
        <f t="shared" si="0"/>
        <v>4.5627918582682774E-2</v>
      </c>
    </row>
    <row r="195" spans="1:8" ht="15.75" customHeight="1" x14ac:dyDescent="0.35">
      <c r="A195" s="12">
        <v>194</v>
      </c>
      <c r="B195" s="12" t="s">
        <v>413</v>
      </c>
      <c r="C195" s="12" t="s">
        <v>414</v>
      </c>
      <c r="D195" s="13" t="s">
        <v>76</v>
      </c>
      <c r="E195" s="14">
        <v>10.01</v>
      </c>
      <c r="F195" s="15">
        <v>173</v>
      </c>
      <c r="G195" s="15">
        <v>489</v>
      </c>
      <c r="H195" s="16">
        <f t="shared" si="0"/>
        <v>4.7360047360047362E-2</v>
      </c>
    </row>
    <row r="196" spans="1:8" ht="15.75" customHeight="1" x14ac:dyDescent="0.35">
      <c r="A196" s="5">
        <v>195</v>
      </c>
      <c r="B196" s="5" t="s">
        <v>415</v>
      </c>
      <c r="C196" s="5" t="s">
        <v>416</v>
      </c>
      <c r="D196" s="6" t="s">
        <v>18</v>
      </c>
      <c r="E196" s="7">
        <v>9.7200000000000006</v>
      </c>
      <c r="F196" s="8">
        <v>81846</v>
      </c>
      <c r="G196" s="8">
        <v>125171</v>
      </c>
      <c r="H196" s="9">
        <f t="shared" si="0"/>
        <v>4.8773052888279225E-2</v>
      </c>
    </row>
    <row r="197" spans="1:8" ht="15.75" customHeight="1" x14ac:dyDescent="0.35">
      <c r="A197" s="12">
        <v>196</v>
      </c>
      <c r="B197" s="12" t="s">
        <v>417</v>
      </c>
      <c r="C197" s="12" t="s">
        <v>418</v>
      </c>
      <c r="D197" s="13" t="s">
        <v>50</v>
      </c>
      <c r="E197" s="14">
        <v>9.67</v>
      </c>
      <c r="F197" s="15">
        <v>20936</v>
      </c>
      <c r="G197" s="15">
        <v>160591</v>
      </c>
      <c r="H197" s="16">
        <f t="shared" si="0"/>
        <v>4.9025240338580571E-2</v>
      </c>
    </row>
    <row r="198" spans="1:8" ht="15.75" customHeight="1" x14ac:dyDescent="0.35">
      <c r="A198" s="5">
        <v>197</v>
      </c>
      <c r="B198" s="5" t="s">
        <v>419</v>
      </c>
      <c r="C198" s="5" t="s">
        <v>420</v>
      </c>
      <c r="D198" s="6" t="s">
        <v>18</v>
      </c>
      <c r="E198" s="7">
        <v>9.2200000000000006</v>
      </c>
      <c r="F198" s="8">
        <v>159140</v>
      </c>
      <c r="G198" s="8">
        <v>2633091</v>
      </c>
      <c r="H198" s="9">
        <f t="shared" si="0"/>
        <v>5.1418012372459222E-2</v>
      </c>
    </row>
    <row r="199" spans="1:8" ht="15.75" customHeight="1" x14ac:dyDescent="0.35">
      <c r="A199" s="12">
        <v>198</v>
      </c>
      <c r="B199" s="12" t="s">
        <v>421</v>
      </c>
      <c r="C199" s="12" t="s">
        <v>422</v>
      </c>
      <c r="D199" s="13" t="s">
        <v>174</v>
      </c>
      <c r="E199" s="14">
        <v>8.99</v>
      </c>
      <c r="F199" s="15">
        <v>10600</v>
      </c>
      <c r="G199" s="15">
        <v>52849</v>
      </c>
      <c r="H199" s="16">
        <f t="shared" si="0"/>
        <v>5.2733489885881432E-2</v>
      </c>
    </row>
    <row r="200" spans="1:8" ht="15.75" customHeight="1" x14ac:dyDescent="0.35">
      <c r="A200" s="5">
        <v>199</v>
      </c>
      <c r="B200" s="5" t="s">
        <v>423</v>
      </c>
      <c r="C200" s="5" t="s">
        <v>424</v>
      </c>
      <c r="D200" s="6" t="s">
        <v>174</v>
      </c>
      <c r="E200" s="7">
        <v>8.5500000000000007</v>
      </c>
      <c r="F200" s="8">
        <v>1918</v>
      </c>
      <c r="G200" s="8">
        <v>8152</v>
      </c>
      <c r="H200" s="9">
        <f t="shared" si="0"/>
        <v>5.5447260125622698E-2</v>
      </c>
    </row>
    <row r="201" spans="1:8" ht="15.75" customHeight="1" x14ac:dyDescent="0.35">
      <c r="A201" s="12">
        <v>200</v>
      </c>
      <c r="B201" s="12" t="s">
        <v>425</v>
      </c>
      <c r="C201" s="12" t="s">
        <v>426</v>
      </c>
      <c r="D201" s="13" t="s">
        <v>174</v>
      </c>
      <c r="E201" s="14">
        <v>8.3800000000000008</v>
      </c>
      <c r="F201" s="15">
        <v>159</v>
      </c>
      <c r="G201" s="15">
        <v>961</v>
      </c>
      <c r="H201" s="16">
        <f t="shared" si="0"/>
        <v>5.6572085211703343E-2</v>
      </c>
    </row>
    <row r="202" spans="1:8" ht="15.75" customHeight="1" x14ac:dyDescent="0.35">
      <c r="A202" s="5">
        <v>201</v>
      </c>
      <c r="B202" s="5" t="s">
        <v>427</v>
      </c>
      <c r="C202" s="5" t="s">
        <v>428</v>
      </c>
      <c r="D202" s="6" t="s">
        <v>326</v>
      </c>
      <c r="E202" s="7">
        <v>8.3699999999999992</v>
      </c>
      <c r="F202" s="8">
        <v>15699</v>
      </c>
      <c r="G202" s="8">
        <v>90932</v>
      </c>
      <c r="H202" s="9">
        <f t="shared" si="0"/>
        <v>5.6639674321872654E-2</v>
      </c>
    </row>
    <row r="203" spans="1:8" ht="15.75" customHeight="1" x14ac:dyDescent="0.35">
      <c r="A203" s="12">
        <v>202</v>
      </c>
      <c r="B203" s="12" t="s">
        <v>429</v>
      </c>
      <c r="C203" s="12" t="s">
        <v>430</v>
      </c>
      <c r="D203" s="13" t="s">
        <v>174</v>
      </c>
      <c r="E203" s="14">
        <v>7.97</v>
      </c>
      <c r="F203" s="15">
        <v>6813</v>
      </c>
      <c r="G203" s="15">
        <v>31705</v>
      </c>
      <c r="H203" s="16">
        <f t="shared" si="0"/>
        <v>5.9482317951577678E-2</v>
      </c>
    </row>
    <row r="204" spans="1:8" ht="15.75" customHeight="1" x14ac:dyDescent="0.35">
      <c r="A204" s="5">
        <v>203</v>
      </c>
      <c r="B204" s="5" t="s">
        <v>431</v>
      </c>
      <c r="C204" s="5" t="s">
        <v>432</v>
      </c>
      <c r="D204" s="6" t="s">
        <v>18</v>
      </c>
      <c r="E204" s="7">
        <v>7.85</v>
      </c>
      <c r="F204" s="8">
        <v>337048</v>
      </c>
      <c r="G204" s="8">
        <v>946186</v>
      </c>
      <c r="H204" s="9">
        <f t="shared" si="0"/>
        <v>6.0391601792875685E-2</v>
      </c>
    </row>
    <row r="205" spans="1:8" ht="15.75" customHeight="1" x14ac:dyDescent="0.35">
      <c r="A205" s="12">
        <v>204</v>
      </c>
      <c r="B205" s="12" t="s">
        <v>433</v>
      </c>
      <c r="C205" s="12" t="s">
        <v>434</v>
      </c>
      <c r="D205" s="13" t="s">
        <v>76</v>
      </c>
      <c r="E205" s="14">
        <v>7.67</v>
      </c>
      <c r="F205" s="15">
        <v>171</v>
      </c>
      <c r="G205" s="15">
        <v>852</v>
      </c>
      <c r="H205" s="16">
        <f t="shared" si="0"/>
        <v>6.1808875368197402E-2</v>
      </c>
    </row>
    <row r="206" spans="1:8" ht="15.75" customHeight="1" x14ac:dyDescent="0.35">
      <c r="A206" s="5">
        <v>205</v>
      </c>
      <c r="B206" s="5" t="s">
        <v>435</v>
      </c>
      <c r="C206" s="5" t="s">
        <v>436</v>
      </c>
      <c r="D206" s="6" t="s">
        <v>174</v>
      </c>
      <c r="E206" s="7">
        <v>7.66</v>
      </c>
      <c r="F206" s="8">
        <v>8050</v>
      </c>
      <c r="G206" s="8">
        <v>27549</v>
      </c>
      <c r="H206" s="9">
        <f t="shared" si="0"/>
        <v>6.1889565806014894E-2</v>
      </c>
    </row>
    <row r="207" spans="1:8" ht="15.75" customHeight="1" x14ac:dyDescent="0.35">
      <c r="A207" s="12">
        <v>206</v>
      </c>
      <c r="B207" s="12" t="s">
        <v>437</v>
      </c>
      <c r="C207" s="12" t="s">
        <v>438</v>
      </c>
      <c r="D207" s="12" t="s">
        <v>174</v>
      </c>
      <c r="E207" s="14">
        <v>7.47</v>
      </c>
      <c r="F207" s="15">
        <v>712</v>
      </c>
      <c r="G207" s="15">
        <v>3205</v>
      </c>
      <c r="H207" s="16">
        <f t="shared" si="0"/>
        <v>6.3463731469086224E-2</v>
      </c>
    </row>
    <row r="208" spans="1:8" ht="15.75" customHeight="1" x14ac:dyDescent="0.35">
      <c r="A208" s="5">
        <v>207</v>
      </c>
      <c r="B208" s="5" t="s">
        <v>439</v>
      </c>
      <c r="C208" s="5" t="s">
        <v>440</v>
      </c>
      <c r="D208" s="5" t="s">
        <v>174</v>
      </c>
      <c r="E208" s="7">
        <v>7.24</v>
      </c>
      <c r="F208" s="8">
        <v>1840</v>
      </c>
      <c r="G208" s="8">
        <v>11550</v>
      </c>
      <c r="H208" s="9">
        <f t="shared" si="0"/>
        <v>6.5479844485369351E-2</v>
      </c>
    </row>
    <row r="209" spans="1:8" ht="15.75" customHeight="1" x14ac:dyDescent="0.35">
      <c r="A209" s="12">
        <v>208</v>
      </c>
      <c r="B209" s="12" t="s">
        <v>441</v>
      </c>
      <c r="C209" s="12" t="s">
        <v>442</v>
      </c>
      <c r="D209" s="12" t="s">
        <v>174</v>
      </c>
      <c r="E209" s="14">
        <v>7.21</v>
      </c>
      <c r="F209" s="15">
        <v>1541</v>
      </c>
      <c r="G209" s="15">
        <v>3744</v>
      </c>
      <c r="H209" s="16">
        <f t="shared" si="0"/>
        <v>6.5752298762007499E-2</v>
      </c>
    </row>
    <row r="210" spans="1:8" ht="15.75" customHeight="1" x14ac:dyDescent="0.35">
      <c r="A210" s="5">
        <v>209</v>
      </c>
      <c r="B210" s="5" t="s">
        <v>443</v>
      </c>
      <c r="C210" s="5" t="s">
        <v>444</v>
      </c>
      <c r="D210" s="5" t="s">
        <v>174</v>
      </c>
      <c r="E210" s="7">
        <v>6.64</v>
      </c>
      <c r="F210" s="8">
        <v>4376</v>
      </c>
      <c r="G210" s="8">
        <v>53334</v>
      </c>
      <c r="H210" s="9">
        <f t="shared" si="0"/>
        <v>7.1396697902722003E-2</v>
      </c>
    </row>
    <row r="211" spans="1:8" ht="15.75" customHeight="1" x14ac:dyDescent="0.35">
      <c r="A211" s="12">
        <v>210</v>
      </c>
      <c r="B211" s="12" t="s">
        <v>445</v>
      </c>
      <c r="C211" s="12" t="s">
        <v>446</v>
      </c>
      <c r="D211" s="12" t="s">
        <v>174</v>
      </c>
      <c r="E211" s="14">
        <v>6.07</v>
      </c>
      <c r="F211" s="15">
        <v>732</v>
      </c>
      <c r="G211" s="15">
        <v>1969</v>
      </c>
      <c r="H211" s="16">
        <f t="shared" si="0"/>
        <v>7.8101165415827692E-2</v>
      </c>
    </row>
    <row r="212" spans="1:8" ht="15.75" customHeight="1" x14ac:dyDescent="0.35">
      <c r="A212" s="5">
        <v>211</v>
      </c>
      <c r="B212" s="5" t="s">
        <v>447</v>
      </c>
      <c r="C212" s="5" t="s">
        <v>448</v>
      </c>
      <c r="D212" s="5" t="s">
        <v>18</v>
      </c>
      <c r="E212" s="7">
        <v>6</v>
      </c>
      <c r="F212" s="8">
        <v>982</v>
      </c>
      <c r="G212" s="8">
        <v>2525</v>
      </c>
      <c r="H212" s="9">
        <f t="shared" si="0"/>
        <v>7.9012345679012344E-2</v>
      </c>
    </row>
    <row r="213" spans="1:8" ht="15.75" customHeight="1" x14ac:dyDescent="0.35">
      <c r="A213" s="12">
        <v>212</v>
      </c>
      <c r="B213" s="12" t="s">
        <v>449</v>
      </c>
      <c r="C213" s="12" t="s">
        <v>450</v>
      </c>
      <c r="D213" s="12" t="s">
        <v>174</v>
      </c>
      <c r="E213" s="14">
        <v>5.63</v>
      </c>
      <c r="F213" s="15">
        <v>533</v>
      </c>
      <c r="G213" s="15">
        <v>1417</v>
      </c>
      <c r="H213" s="16">
        <f t="shared" si="0"/>
        <v>8.4204986514045135E-2</v>
      </c>
    </row>
    <row r="214" spans="1:8" ht="15.75" customHeight="1" x14ac:dyDescent="0.35">
      <c r="A214" s="5">
        <v>213</v>
      </c>
      <c r="B214" s="5" t="s">
        <v>451</v>
      </c>
      <c r="C214" s="5" t="s">
        <v>452</v>
      </c>
      <c r="D214" s="5" t="s">
        <v>45</v>
      </c>
      <c r="E214" s="7">
        <v>5.34</v>
      </c>
      <c r="F214" s="8">
        <v>684</v>
      </c>
      <c r="G214" s="8">
        <v>1525</v>
      </c>
      <c r="H214" s="9">
        <f t="shared" si="0"/>
        <v>8.877791649327231E-2</v>
      </c>
    </row>
    <row r="215" spans="1:8" ht="15.75" customHeight="1" x14ac:dyDescent="0.35">
      <c r="A215" s="12">
        <v>214</v>
      </c>
      <c r="B215" s="12" t="s">
        <v>453</v>
      </c>
      <c r="C215" s="12" t="s">
        <v>454</v>
      </c>
      <c r="D215" s="12" t="s">
        <v>174</v>
      </c>
      <c r="E215" s="14">
        <v>5.33</v>
      </c>
      <c r="F215" s="15">
        <v>3408</v>
      </c>
      <c r="G215" s="15">
        <v>12132</v>
      </c>
      <c r="H215" s="16">
        <f t="shared" si="0"/>
        <v>8.8944479188381637E-2</v>
      </c>
    </row>
    <row r="216" spans="1:8" ht="15.75" customHeight="1" x14ac:dyDescent="0.35">
      <c r="A216" s="5">
        <v>215</v>
      </c>
      <c r="B216" s="5" t="s">
        <v>455</v>
      </c>
      <c r="C216" s="5" t="s">
        <v>456</v>
      </c>
      <c r="D216" s="5" t="s">
        <v>76</v>
      </c>
      <c r="E216" s="7">
        <v>5.32</v>
      </c>
      <c r="F216" s="8">
        <v>225</v>
      </c>
      <c r="G216" s="8">
        <v>1095</v>
      </c>
      <c r="H216" s="9">
        <f t="shared" si="0"/>
        <v>8.9111668059036475E-2</v>
      </c>
    </row>
    <row r="217" spans="1:8" ht="15.75" customHeight="1" x14ac:dyDescent="0.35">
      <c r="A217" s="12">
        <v>216</v>
      </c>
      <c r="B217" s="12" t="s">
        <v>457</v>
      </c>
      <c r="C217" s="12" t="s">
        <v>458</v>
      </c>
      <c r="D217" s="12" t="s">
        <v>174</v>
      </c>
      <c r="E217" s="14">
        <v>5.27</v>
      </c>
      <c r="F217" s="15">
        <v>373</v>
      </c>
      <c r="G217" s="15">
        <v>3966</v>
      </c>
      <c r="H217" s="16">
        <f t="shared" si="0"/>
        <v>8.9957129805327163E-2</v>
      </c>
    </row>
    <row r="218" spans="1:8" ht="15.75" customHeight="1" x14ac:dyDescent="0.35">
      <c r="A218" s="5">
        <v>217</v>
      </c>
      <c r="B218" s="5" t="s">
        <v>459</v>
      </c>
      <c r="C218" s="5" t="s">
        <v>460</v>
      </c>
      <c r="D218" s="5" t="s">
        <v>174</v>
      </c>
      <c r="E218" s="7">
        <v>4.97</v>
      </c>
      <c r="F218" s="23">
        <v>1399</v>
      </c>
      <c r="G218" s="5">
        <v>4941</v>
      </c>
      <c r="H218" s="9">
        <f t="shared" si="0"/>
        <v>9.5387137640658787E-2</v>
      </c>
    </row>
    <row r="219" spans="1:8" ht="15.75" customHeight="1" x14ac:dyDescent="0.35">
      <c r="A219" s="12">
        <v>218</v>
      </c>
      <c r="B219" s="12" t="s">
        <v>461</v>
      </c>
      <c r="C219" s="12" t="s">
        <v>462</v>
      </c>
      <c r="D219" s="12" t="s">
        <v>76</v>
      </c>
      <c r="E219" s="14">
        <v>4.66</v>
      </c>
      <c r="F219" s="24">
        <v>237</v>
      </c>
      <c r="G219" s="12">
        <v>920</v>
      </c>
      <c r="H219" s="16">
        <f t="shared" si="0"/>
        <v>0.10173263392147512</v>
      </c>
    </row>
    <row r="220" spans="1:8" ht="15.75" customHeight="1" x14ac:dyDescent="0.35">
      <c r="A220" s="5">
        <v>219</v>
      </c>
      <c r="B220" s="5" t="s">
        <v>463</v>
      </c>
      <c r="C220" s="5" t="s">
        <v>464</v>
      </c>
      <c r="D220" s="5" t="s">
        <v>174</v>
      </c>
      <c r="E220" s="7">
        <v>4.6100000000000003</v>
      </c>
      <c r="F220" s="23">
        <v>147</v>
      </c>
      <c r="G220" s="5">
        <v>632</v>
      </c>
      <c r="H220" s="9">
        <f t="shared" si="0"/>
        <v>0.10283602474491844</v>
      </c>
    </row>
    <row r="221" spans="1:8" ht="15.75" customHeight="1" x14ac:dyDescent="0.35">
      <c r="A221" s="12">
        <v>220</v>
      </c>
      <c r="B221" s="12" t="s">
        <v>465</v>
      </c>
      <c r="C221" s="12" t="s">
        <v>466</v>
      </c>
      <c r="D221" s="12" t="s">
        <v>79</v>
      </c>
      <c r="E221" s="14">
        <v>4.49</v>
      </c>
      <c r="F221" s="24">
        <v>8846</v>
      </c>
      <c r="G221" s="12">
        <v>21265</v>
      </c>
      <c r="H221" s="16">
        <f t="shared" si="0"/>
        <v>0.10558442629712117</v>
      </c>
    </row>
    <row r="222" spans="1:8" ht="15.75" customHeight="1" x14ac:dyDescent="0.35">
      <c r="A222" s="5">
        <v>221</v>
      </c>
      <c r="B222" s="5" t="s">
        <v>467</v>
      </c>
      <c r="C222" s="5" t="s">
        <v>468</v>
      </c>
      <c r="D222" s="5" t="s">
        <v>174</v>
      </c>
      <c r="E222" s="7">
        <v>4.45</v>
      </c>
      <c r="F222" s="23">
        <v>26898</v>
      </c>
      <c r="G222" s="5">
        <v>212001</v>
      </c>
      <c r="H222" s="9">
        <f t="shared" si="0"/>
        <v>0.10653349979192675</v>
      </c>
    </row>
    <row r="223" spans="1:8" ht="15.75" customHeight="1" x14ac:dyDescent="0.35">
      <c r="A223" s="12">
        <v>222</v>
      </c>
      <c r="B223" s="12" t="s">
        <v>469</v>
      </c>
      <c r="C223" s="12" t="s">
        <v>470</v>
      </c>
      <c r="D223" s="12" t="s">
        <v>174</v>
      </c>
      <c r="E223" s="14">
        <v>4.08</v>
      </c>
      <c r="F223" s="24">
        <v>101</v>
      </c>
      <c r="G223" s="12">
        <v>523</v>
      </c>
      <c r="H223" s="16">
        <f t="shared" si="0"/>
        <v>0.11619462599854757</v>
      </c>
    </row>
    <row r="224" spans="1:8" ht="15.75" customHeight="1" x14ac:dyDescent="0.35">
      <c r="A224" s="5">
        <v>223</v>
      </c>
      <c r="B224" s="5" t="s">
        <v>471</v>
      </c>
      <c r="C224" s="5" t="s">
        <v>472</v>
      </c>
      <c r="D224" s="5" t="s">
        <v>174</v>
      </c>
      <c r="E224" s="7">
        <v>4.0199999999999996</v>
      </c>
      <c r="F224" s="23">
        <v>3730</v>
      </c>
      <c r="G224" s="5">
        <v>7578</v>
      </c>
      <c r="H224" s="9">
        <f t="shared" si="0"/>
        <v>0.11792887414777962</v>
      </c>
    </row>
    <row r="225" spans="1:8" ht="15.75" customHeight="1" x14ac:dyDescent="0.35">
      <c r="A225" s="12">
        <v>224</v>
      </c>
      <c r="B225" s="12" t="s">
        <v>473</v>
      </c>
      <c r="C225" s="12" t="s">
        <v>474</v>
      </c>
      <c r="D225" s="12" t="s">
        <v>18</v>
      </c>
      <c r="E225" s="14">
        <v>3.11</v>
      </c>
      <c r="F225" s="24">
        <v>15161</v>
      </c>
      <c r="G225" s="12">
        <v>102824</v>
      </c>
      <c r="H225" s="16">
        <f t="shared" si="0"/>
        <v>0.15243539359294989</v>
      </c>
    </row>
    <row r="226" spans="1:8" ht="15.75" customHeight="1" x14ac:dyDescent="0.35">
      <c r="A226" s="5">
        <v>225</v>
      </c>
      <c r="B226" s="5" t="s">
        <v>475</v>
      </c>
      <c r="C226" s="5" t="s">
        <v>476</v>
      </c>
      <c r="D226" s="5" t="s">
        <v>159</v>
      </c>
      <c r="E226" s="7">
        <v>3.1</v>
      </c>
      <c r="F226" s="23">
        <v>3971</v>
      </c>
      <c r="G226" s="5">
        <v>29931</v>
      </c>
      <c r="H226" s="9">
        <f t="shared" si="0"/>
        <v>0.15292712066905614</v>
      </c>
    </row>
    <row r="227" spans="1:8" ht="15.75" customHeight="1" x14ac:dyDescent="0.35">
      <c r="A227" s="12">
        <v>226</v>
      </c>
      <c r="B227" s="12" t="s">
        <v>477</v>
      </c>
      <c r="C227" s="12" t="s">
        <v>478</v>
      </c>
      <c r="D227" s="12" t="s">
        <v>50</v>
      </c>
      <c r="E227" s="14">
        <v>2.99</v>
      </c>
      <c r="F227" s="24">
        <v>55717</v>
      </c>
      <c r="G227" s="12">
        <v>130062</v>
      </c>
      <c r="H227" s="16">
        <f t="shared" si="0"/>
        <v>0.15855320203146289</v>
      </c>
    </row>
    <row r="228" spans="1:8" ht="15.75" customHeight="1" x14ac:dyDescent="0.35">
      <c r="A228" s="5">
        <v>227</v>
      </c>
      <c r="B228" s="5" t="s">
        <v>479</v>
      </c>
      <c r="C228" s="5" t="s">
        <v>480</v>
      </c>
      <c r="D228" s="5" t="s">
        <v>50</v>
      </c>
      <c r="E228" s="7">
        <v>2.8</v>
      </c>
      <c r="F228" s="23">
        <v>22094</v>
      </c>
      <c r="G228" s="5">
        <v>29397</v>
      </c>
      <c r="H228" s="9">
        <f t="shared" si="0"/>
        <v>0.16931216931216933</v>
      </c>
    </row>
    <row r="229" spans="1:8" ht="15.75" customHeight="1" x14ac:dyDescent="0.35">
      <c r="A229" s="12">
        <v>228</v>
      </c>
      <c r="B229" s="12" t="s">
        <v>481</v>
      </c>
      <c r="C229" s="12" t="s">
        <v>482</v>
      </c>
      <c r="D229" s="12" t="s">
        <v>159</v>
      </c>
      <c r="E229" s="14">
        <v>2.72</v>
      </c>
      <c r="F229" s="24">
        <v>2148</v>
      </c>
      <c r="G229" s="12">
        <v>10928</v>
      </c>
      <c r="H229" s="16">
        <f t="shared" si="0"/>
        <v>0.17429193899782133</v>
      </c>
    </row>
    <row r="230" spans="1:8" ht="15.75" customHeight="1" x14ac:dyDescent="0.35">
      <c r="A230" s="5">
        <v>229</v>
      </c>
      <c r="B230" s="5" t="s">
        <v>483</v>
      </c>
      <c r="C230" s="5" t="s">
        <v>484</v>
      </c>
      <c r="D230" s="6" t="s">
        <v>18</v>
      </c>
      <c r="E230" s="7">
        <v>2.38</v>
      </c>
      <c r="F230" s="23">
        <v>201</v>
      </c>
      <c r="G230" s="5">
        <v>1710</v>
      </c>
      <c r="H230" s="9">
        <f t="shared" si="0"/>
        <v>0.19919078742608154</v>
      </c>
    </row>
  </sheetData>
  <autoFilter ref="B1:H230" xr:uid="{00000000-0009-0000-0000-000000000000}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League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Dhiogo Acioli</cp:lastModifiedBy>
  <dcterms:modified xsi:type="dcterms:W3CDTF">2026-05-08T20:45:04Z</dcterms:modified>
</cp:coreProperties>
</file>